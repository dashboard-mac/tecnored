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tecnored365.sharepoint.com/sites/Tecnored-ProgramaMarab/Shared Documents/Geral/04 - Contratos/"/>
    </mc:Choice>
  </mc:AlternateContent>
  <xr:revisionPtr revIDLastSave="627" documentId="13_ncr:1_{0CB5BE90-2E56-42E4-9C17-282BF9E3158B}" xr6:coauthVersionLast="47" xr6:coauthVersionMax="47" xr10:uidLastSave="{EE307D85-51A9-466D-AF2D-1570771E3EA5}"/>
  <bookViews>
    <workbookView xWindow="28680" yWindow="-120" windowWidth="29040" windowHeight="15720" tabRatio="398" xr2:uid="{84B3A068-F845-41D0-A945-7C4FF197B9CE}"/>
  </bookViews>
  <sheets>
    <sheet name="MAC - CC Maraba" sheetId="2" r:id="rId1"/>
    <sheet name="MAC - CC Pinda em construção" sheetId="4" r:id="rId2"/>
  </sheets>
  <externalReferences>
    <externalReference r:id="rId3"/>
  </externalReferences>
  <definedNames>
    <definedName name="__xleta.DAYS" hidden="1" xlm="1">#NAME?</definedName>
    <definedName name="__xleta.TODAY" hidden="1" xlm="1">#NAME?</definedName>
    <definedName name="_xlnm._FilterDatabase" localSheetId="0" hidden="1">'MAC - CC Maraba'!$A$4:$IS$54</definedName>
    <definedName name="_xlnm.Print_Area" localSheetId="0">'MAC - CC Maraba'!$B$1:$BQ$55</definedName>
    <definedName name="Z_3067AF3C_3C8A_437E_A8D7_E1E37AA47C54_.wvu.Cols" localSheetId="0" hidden="1">'MAC - CC Maraba'!$BR:$BR,'MAC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</definedName>
    <definedName name="Z_3067AF3C_3C8A_437E_A8D7_E1E37AA47C54_.wvu.FilterData" localSheetId="0" hidden="1">'MAC - CC Maraba'!$B$4:$BQ$4</definedName>
    <definedName name="Z_3067AF3C_3C8A_437E_A8D7_E1E37AA47C54_.wvu.PrintArea" localSheetId="0" hidden="1">'MAC - CC Maraba'!$B$1:$BQ$55</definedName>
    <definedName name="Z_3067AF3C_3C8A_437E_A8D7_E1E37AA47C54_.wvu.Rows" localSheetId="0" hidden="1">'MAC - CC Maraba'!#REF!,'MAC - CC Maraba'!#REF!,'MAC - CC Maraba'!#REF!</definedName>
    <definedName name="Z_C398F29A_5737_4E6B_A4F1_1F8230C59EE7_.wvu.Cols" localSheetId="0" hidden="1">'MAC - CC Maraba'!$BR:$BR,'MAC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Maraba'!#REF!,'MAC - CC Maraba'!#REF!</definedName>
    <definedName name="Z_C398F29A_5737_4E6B_A4F1_1F8230C59EE7_.wvu.FilterData" localSheetId="0" hidden="1">'MAC - CC Maraba'!$B$4:$BQ$4</definedName>
    <definedName name="Z_C398F29A_5737_4E6B_A4F1_1F8230C59EE7_.wvu.PrintArea" localSheetId="0" hidden="1">'MAC - CC Maraba'!$B$1:$BQ$55</definedName>
    <definedName name="Z_C398F29A_5737_4E6B_A4F1_1F8230C59EE7_.wvu.Rows" localSheetId="0" hidden="1">'MAC - CC Maraba'!#REF!,'MAC - CC Maraba'!#REF!,'MAC - CC Maraba'!#REF!</definedName>
  </definedNames>
  <calcPr calcId="191028"/>
  <customWorkbookViews>
    <customWorkbookView name="CVRD - Modo de exibição pessoal" guid="{C398F29A-5737-4E6B-A4F1-1F8230C59EE7}" mergeInterval="0" personalView="1" maximized="1" showSheetTabs="0" xWindow="1" yWindow="1" windowWidth="1362" windowHeight="506" tabRatio="398" activeSheetId="10"/>
    <customWorkbookView name="Vale - Modo de exibição pessoal" guid="{3067AF3C-3C8A-437E-A8D7-E1E37AA47C54}" mergeInterval="0" personalView="1" maximized="1" showSheetTabs="0" windowWidth="1020" windowHeight="503" tabRatio="398" activeSheetId="18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M9" i="4" l="1"/>
  <c r="BL9" i="4"/>
  <c r="BK9" i="4"/>
  <c r="BJ9" i="4"/>
  <c r="BI9" i="4"/>
  <c r="BH9" i="4"/>
  <c r="BD9" i="4"/>
  <c r="BC9" i="4"/>
  <c r="BB9" i="4"/>
  <c r="AZ9" i="4"/>
  <c r="AY7" i="4"/>
  <c r="AX7" i="4"/>
  <c r="BF13" i="2" l="1"/>
  <c r="BG46" i="2"/>
  <c r="BB46" i="2"/>
  <c r="BA46" i="2"/>
  <c r="BO46" i="2" s="1"/>
  <c r="AX46" i="2"/>
  <c r="AY46" i="2" s="1"/>
  <c r="AL46" i="2"/>
  <c r="AN46" i="2" s="1"/>
  <c r="BP46" i="2" l="1"/>
  <c r="BQ46" i="2"/>
  <c r="AX8" i="4"/>
  <c r="AY8" i="4" s="1"/>
  <c r="BA8" i="4"/>
  <c r="BO8" i="4" s="1"/>
  <c r="BP8" i="4" l="1"/>
  <c r="BQ8" i="4"/>
  <c r="BG7" i="4"/>
  <c r="BG9" i="4" s="1"/>
  <c r="BA7" i="4"/>
  <c r="AL7" i="4"/>
  <c r="AN7" i="4" s="1"/>
  <c r="BO7" i="4" l="1"/>
  <c r="BP7" i="4"/>
  <c r="BQ7" i="4" l="1"/>
  <c r="BP21" i="4"/>
  <c r="BP22" i="4" s="1"/>
  <c r="AL6" i="4"/>
  <c r="AL5" i="4"/>
  <c r="AX6" i="4"/>
  <c r="AY6" i="4" s="1"/>
  <c r="AX5" i="4"/>
  <c r="AX9" i="4" s="1"/>
  <c r="BF6" i="4" l="1"/>
  <c r="BF9" i="4" s="1"/>
  <c r="AN6" i="4"/>
  <c r="BE6" i="4"/>
  <c r="BE9" i="4" s="1"/>
  <c r="BF27" i="2"/>
  <c r="AL36" i="2" l="1"/>
  <c r="BA6" i="4"/>
  <c r="BO6" i="4" s="1"/>
  <c r="BQ6" i="4" l="1"/>
  <c r="BP6" i="4"/>
  <c r="BF38" i="2"/>
  <c r="BF18" i="2"/>
  <c r="BK56" i="2" l="1"/>
  <c r="AQ9" i="4"/>
  <c r="BA5" i="4"/>
  <c r="BA9" i="4" s="1"/>
  <c r="AY5" i="4"/>
  <c r="AY9" i="4" s="1"/>
  <c r="BM56" i="2"/>
  <c r="BL56" i="2"/>
  <c r="BJ56" i="2"/>
  <c r="BI56" i="2"/>
  <c r="BH56" i="2"/>
  <c r="BB56" i="2"/>
  <c r="BG56" i="2"/>
  <c r="BD56" i="2"/>
  <c r="BC56" i="2"/>
  <c r="BM54" i="2"/>
  <c r="BL54" i="2"/>
  <c r="BK54" i="2"/>
  <c r="BJ54" i="2"/>
  <c r="BI54" i="2"/>
  <c r="BH54" i="2"/>
  <c r="BG54" i="2"/>
  <c r="BD54" i="2"/>
  <c r="BC54" i="2"/>
  <c r="BB54" i="2"/>
  <c r="AQ54" i="2"/>
  <c r="AL8" i="4"/>
  <c r="AN8" i="4" s="1"/>
  <c r="AW9" i="4" l="1"/>
  <c r="BO5" i="4"/>
  <c r="BO9" i="4" s="1"/>
  <c r="BQ9" i="4" s="1"/>
  <c r="AZ19" i="2"/>
  <c r="BF19" i="2"/>
  <c r="BP5" i="4" l="1"/>
  <c r="BP9" i="4" s="1"/>
  <c r="BF56" i="2"/>
  <c r="BF54" i="2"/>
  <c r="AZ56" i="2"/>
  <c r="BA15" i="2"/>
  <c r="BA12" i="2"/>
  <c r="BO12" i="2" s="1"/>
  <c r="BA10" i="2"/>
  <c r="BO10" i="2" s="1"/>
  <c r="AX12" i="2"/>
  <c r="AY12" i="2" s="1"/>
  <c r="AX10" i="2"/>
  <c r="AY10" i="2" s="1"/>
  <c r="BE13" i="2"/>
  <c r="BA22" i="2"/>
  <c r="BO22" i="2" s="1"/>
  <c r="AX22" i="2"/>
  <c r="AY22" i="2" s="1"/>
  <c r="AL22" i="2"/>
  <c r="AN22" i="2" s="1"/>
  <c r="BP12" i="2" l="1"/>
  <c r="BP10" i="2"/>
  <c r="BQ12" i="2"/>
  <c r="BP22" i="2"/>
  <c r="BQ22" i="2"/>
  <c r="BA19" i="2"/>
  <c r="BO19" i="2" s="1"/>
  <c r="AX19" i="2"/>
  <c r="AY19" i="2" s="1"/>
  <c r="AL19" i="2"/>
  <c r="AN19" i="2" s="1"/>
  <c r="AN5" i="4"/>
  <c r="AN1" i="4"/>
  <c r="AE1" i="4"/>
  <c r="BE45" i="2"/>
  <c r="BE56" i="2" s="1"/>
  <c r="BA31" i="2"/>
  <c r="BO31" i="2" s="1"/>
  <c r="AX31" i="2"/>
  <c r="AY31" i="2" s="1"/>
  <c r="AL31" i="2"/>
  <c r="AN31" i="2" s="1"/>
  <c r="BA35" i="2"/>
  <c r="BA34" i="2"/>
  <c r="BA30" i="2"/>
  <c r="AO7" i="4" l="1"/>
  <c r="AO6" i="4"/>
  <c r="AO5" i="4"/>
  <c r="BE54" i="2"/>
  <c r="BP19" i="2"/>
  <c r="BQ19" i="2"/>
  <c r="BQ5" i="4"/>
  <c r="BQ31" i="2"/>
  <c r="BP31" i="2"/>
  <c r="BO30" i="2"/>
  <c r="AX30" i="2"/>
  <c r="AY30" i="2" s="1"/>
  <c r="AL30" i="2"/>
  <c r="AN30" i="2" s="1"/>
  <c r="BA8" i="2"/>
  <c r="BO8" i="2" s="1"/>
  <c r="AX8" i="2"/>
  <c r="AY8" i="2" s="1"/>
  <c r="AL8" i="2"/>
  <c r="AN8" i="2" s="1"/>
  <c r="AL35" i="2"/>
  <c r="AN35" i="2" s="1"/>
  <c r="AX35" i="2"/>
  <c r="AY35" i="2" s="1"/>
  <c r="AX34" i="2"/>
  <c r="BO35" i="2"/>
  <c r="BA32" i="2"/>
  <c r="BO32" i="2" s="1"/>
  <c r="AX32" i="2"/>
  <c r="AY32" i="2" s="1"/>
  <c r="AL32" i="2"/>
  <c r="AN32" i="2" s="1"/>
  <c r="BA11" i="2"/>
  <c r="BO11" i="2" s="1"/>
  <c r="AX11" i="2"/>
  <c r="AY11" i="2" s="1"/>
  <c r="AL11" i="2"/>
  <c r="AN11" i="2" s="1"/>
  <c r="AL44" i="2"/>
  <c r="BA7" i="2"/>
  <c r="BO7" i="2" s="1"/>
  <c r="AX7" i="2"/>
  <c r="AY7" i="2" s="1"/>
  <c r="AL7" i="2"/>
  <c r="AN7" i="2" s="1"/>
  <c r="BA28" i="2"/>
  <c r="BO28" i="2" s="1"/>
  <c r="AX28" i="2"/>
  <c r="AY28" i="2" s="1"/>
  <c r="AL28" i="2"/>
  <c r="AN28" i="2" s="1"/>
  <c r="BA25" i="2"/>
  <c r="BO25" i="2" s="1"/>
  <c r="AX25" i="2"/>
  <c r="AY25" i="2" s="1"/>
  <c r="AL25" i="2"/>
  <c r="AN25" i="2" s="1"/>
  <c r="BA17" i="2"/>
  <c r="BO17" i="2" s="1"/>
  <c r="AX17" i="2"/>
  <c r="AY17" i="2" s="1"/>
  <c r="AL17" i="2"/>
  <c r="AN17" i="2" s="1"/>
  <c r="BA33" i="2"/>
  <c r="BO33" i="2" s="1"/>
  <c r="AX33" i="2"/>
  <c r="AY33" i="2" s="1"/>
  <c r="AL33" i="2"/>
  <c r="AN33" i="2" s="1"/>
  <c r="BP30" i="2" l="1"/>
  <c r="BQ30" i="2"/>
  <c r="BP8" i="2"/>
  <c r="BQ8" i="2"/>
  <c r="BP35" i="2"/>
  <c r="BQ35" i="2"/>
  <c r="BQ32" i="2"/>
  <c r="BP32" i="2"/>
  <c r="BQ25" i="2"/>
  <c r="BP11" i="2"/>
  <c r="BQ11" i="2"/>
  <c r="BQ33" i="2"/>
  <c r="BP7" i="2"/>
  <c r="BQ7" i="2"/>
  <c r="BP28" i="2"/>
  <c r="BQ28" i="2"/>
  <c r="BP25" i="2"/>
  <c r="BP17" i="2"/>
  <c r="BQ17" i="2"/>
  <c r="BP33" i="2"/>
  <c r="AL34" i="2"/>
  <c r="AL10" i="2" l="1"/>
  <c r="AN10" i="2" s="1"/>
  <c r="BA16" i="2"/>
  <c r="BO16" i="2" s="1"/>
  <c r="AX16" i="2"/>
  <c r="AY16" i="2" s="1"/>
  <c r="AL16" i="2"/>
  <c r="AN16" i="2" s="1"/>
  <c r="BQ10" i="2" l="1"/>
  <c r="BQ16" i="2"/>
  <c r="BP16" i="2"/>
  <c r="AL49" i="2"/>
  <c r="AL45" i="2"/>
  <c r="AN45" i="2" s="1"/>
  <c r="AL43" i="2"/>
  <c r="AN43" i="2" s="1"/>
  <c r="BA45" i="2"/>
  <c r="BO45" i="2" s="1"/>
  <c r="AX45" i="2"/>
  <c r="AY45" i="2" s="1"/>
  <c r="BA47" i="2"/>
  <c r="BO47" i="2" s="1"/>
  <c r="AX47" i="2"/>
  <c r="AY47" i="2" s="1"/>
  <c r="AL47" i="2"/>
  <c r="AN47" i="2" s="1"/>
  <c r="BA5" i="2"/>
  <c r="AX5" i="2"/>
  <c r="AL5" i="2"/>
  <c r="BA26" i="2"/>
  <c r="BA24" i="2"/>
  <c r="BO24" i="2" s="1"/>
  <c r="AX24" i="2"/>
  <c r="AY24" i="2" s="1"/>
  <c r="AL24" i="2"/>
  <c r="AN24" i="2" s="1"/>
  <c r="BA38" i="2"/>
  <c r="BO38" i="2" s="1"/>
  <c r="AX38" i="2"/>
  <c r="AY38" i="2" s="1"/>
  <c r="AL38" i="2"/>
  <c r="AN38" i="2" s="1"/>
  <c r="BA14" i="2"/>
  <c r="BO14" i="2" s="1"/>
  <c r="AX14" i="2"/>
  <c r="AY14" i="2" s="1"/>
  <c r="AL14" i="2"/>
  <c r="AN14" i="2" s="1"/>
  <c r="BA9" i="2"/>
  <c r="BO9" i="2" s="1"/>
  <c r="BA37" i="2"/>
  <c r="BO37" i="2" s="1"/>
  <c r="AX37" i="2"/>
  <c r="AY37" i="2" s="1"/>
  <c r="AL37" i="2"/>
  <c r="AN37" i="2" s="1"/>
  <c r="AN1" i="2"/>
  <c r="AO46" i="2" s="1"/>
  <c r="AL13" i="2"/>
  <c r="AN13" i="2" s="1"/>
  <c r="AL48" i="2"/>
  <c r="AN48" i="2" s="1"/>
  <c r="AL21" i="2"/>
  <c r="AN21" i="2" s="1"/>
  <c r="AL20" i="2"/>
  <c r="AN20" i="2" s="1"/>
  <c r="AL23" i="2"/>
  <c r="AN23" i="2" s="1"/>
  <c r="BA43" i="2"/>
  <c r="AL42" i="2"/>
  <c r="AN42" i="2" s="1"/>
  <c r="BO5" i="2" l="1"/>
  <c r="AY5" i="2"/>
  <c r="AO19" i="2"/>
  <c r="AO30" i="2"/>
  <c r="AO31" i="2"/>
  <c r="AO35" i="2"/>
  <c r="AO8" i="2"/>
  <c r="AO11" i="2"/>
  <c r="AO32" i="2"/>
  <c r="AO7" i="2"/>
  <c r="AO25" i="2"/>
  <c r="AO28" i="2"/>
  <c r="AO48" i="2"/>
  <c r="AO17" i="2"/>
  <c r="BQ14" i="2"/>
  <c r="BQ47" i="2"/>
  <c r="BQ38" i="2"/>
  <c r="BQ45" i="2"/>
  <c r="BQ37" i="2"/>
  <c r="BQ24" i="2"/>
  <c r="AO47" i="2"/>
  <c r="AO43" i="2"/>
  <c r="AO45" i="2"/>
  <c r="AO42" i="2"/>
  <c r="AO38" i="2"/>
  <c r="AO33" i="2"/>
  <c r="AO24" i="2"/>
  <c r="AO21" i="2"/>
  <c r="AO20" i="2"/>
  <c r="AO16" i="2"/>
  <c r="AO37" i="2"/>
  <c r="AO13" i="2"/>
  <c r="AO14" i="2"/>
  <c r="AO10" i="2"/>
  <c r="AO5" i="2"/>
  <c r="BP45" i="2"/>
  <c r="BP47" i="2"/>
  <c r="BP24" i="2"/>
  <c r="BP38" i="2"/>
  <c r="BP14" i="2"/>
  <c r="BP37" i="2"/>
  <c r="AL41" i="2"/>
  <c r="AN41" i="2" s="1"/>
  <c r="AO41" i="2" s="1"/>
  <c r="AL29" i="2"/>
  <c r="AL40" i="2"/>
  <c r="AN40" i="2" s="1"/>
  <c r="AO40" i="2" s="1"/>
  <c r="AL39" i="2"/>
  <c r="AN39" i="2" s="1"/>
  <c r="AO39" i="2" s="1"/>
  <c r="BP5" i="2" l="1"/>
  <c r="BQ5" i="2"/>
  <c r="AN34" i="2"/>
  <c r="AO34" i="2" s="1"/>
  <c r="AN29" i="2"/>
  <c r="AO29" i="2" s="1"/>
  <c r="AL27" i="2"/>
  <c r="AN27" i="2" s="1"/>
  <c r="AO27" i="2" s="1"/>
  <c r="AL26" i="2"/>
  <c r="AN26" i="2" s="1"/>
  <c r="AO26" i="2" s="1"/>
  <c r="AL50" i="2"/>
  <c r="AL51" i="2"/>
  <c r="AL52" i="2"/>
  <c r="AL53" i="2"/>
  <c r="AL18" i="2"/>
  <c r="AN18" i="2" s="1"/>
  <c r="AO18" i="2" s="1"/>
  <c r="AL9" i="2"/>
  <c r="AN9" i="2" s="1"/>
  <c r="AO9" i="2" s="1"/>
  <c r="AL15" i="2"/>
  <c r="AN15" i="2" s="1"/>
  <c r="AO15" i="2" s="1"/>
  <c r="AN36" i="2"/>
  <c r="AO36" i="2" s="1"/>
  <c r="AL6" i="2"/>
  <c r="AN6" i="2" s="1"/>
  <c r="AO6" i="2" s="1"/>
  <c r="AN44" i="2"/>
  <c r="AO44" i="2" s="1"/>
  <c r="AX27" i="2"/>
  <c r="AY27" i="2" s="1"/>
  <c r="AE1" i="2" l="1"/>
  <c r="AX44" i="2"/>
  <c r="AY44" i="2" s="1"/>
  <c r="BA44" i="2"/>
  <c r="BO44" i="2" s="1"/>
  <c r="AX6" i="2"/>
  <c r="BA6" i="2"/>
  <c r="BO6" i="2" s="1"/>
  <c r="AX36" i="2"/>
  <c r="AY36" i="2" s="1"/>
  <c r="BA36" i="2"/>
  <c r="AX15" i="2"/>
  <c r="BO15" i="2"/>
  <c r="AX9" i="2"/>
  <c r="AY9" i="2" s="1"/>
  <c r="BP9" i="2" s="1"/>
  <c r="AX13" i="2"/>
  <c r="AY13" i="2" s="1"/>
  <c r="BA13" i="2"/>
  <c r="BO13" i="2" s="1"/>
  <c r="AX18" i="2"/>
  <c r="AY18" i="2" s="1"/>
  <c r="BA18" i="2"/>
  <c r="BO18" i="2" s="1"/>
  <c r="AX20" i="2"/>
  <c r="BA20" i="2"/>
  <c r="AZ20" i="2" s="1"/>
  <c r="AX21" i="2"/>
  <c r="AY21" i="2" s="1"/>
  <c r="BA21" i="2"/>
  <c r="AX26" i="2"/>
  <c r="AY26" i="2" s="1"/>
  <c r="BO26" i="2"/>
  <c r="BA27" i="2"/>
  <c r="AX29" i="2"/>
  <c r="AY29" i="2" s="1"/>
  <c r="BA29" i="2"/>
  <c r="BO29" i="2" s="1"/>
  <c r="AY34" i="2"/>
  <c r="BO34" i="2"/>
  <c r="AX39" i="2"/>
  <c r="AY39" i="2" s="1"/>
  <c r="BA39" i="2"/>
  <c r="BO39" i="2" s="1"/>
  <c r="AX40" i="2"/>
  <c r="AY40" i="2" s="1"/>
  <c r="BA40" i="2"/>
  <c r="BO40" i="2" s="1"/>
  <c r="AX41" i="2"/>
  <c r="BA41" i="2"/>
  <c r="BO41" i="2" s="1"/>
  <c r="AX42" i="2"/>
  <c r="AY42" i="2" s="1"/>
  <c r="BA42" i="2"/>
  <c r="BO42" i="2" s="1"/>
  <c r="AX43" i="2"/>
  <c r="AY43" i="2" s="1"/>
  <c r="BO43" i="2"/>
  <c r="AX48" i="2"/>
  <c r="AY48" i="2" s="1"/>
  <c r="BA48" i="2"/>
  <c r="BO48" i="2" s="1"/>
  <c r="AX49" i="2"/>
  <c r="AY49" i="2" s="1"/>
  <c r="BA49" i="2"/>
  <c r="BO49" i="2" s="1"/>
  <c r="AX50" i="2"/>
  <c r="AY50" i="2" s="1"/>
  <c r="BA50" i="2"/>
  <c r="BO50" i="2" s="1"/>
  <c r="AX51" i="2"/>
  <c r="AY51" i="2" s="1"/>
  <c r="BA51" i="2"/>
  <c r="BO51" i="2" s="1"/>
  <c r="AX52" i="2"/>
  <c r="AY52" i="2" s="1"/>
  <c r="BA52" i="2"/>
  <c r="BO52" i="2" s="1"/>
  <c r="AX53" i="2"/>
  <c r="AY53" i="2" s="1"/>
  <c r="BA53" i="2"/>
  <c r="BO53" i="2" s="1"/>
  <c r="AX23" i="2"/>
  <c r="AY23" i="2" s="1"/>
  <c r="BA23" i="2"/>
  <c r="BO23" i="2" s="1"/>
  <c r="AZ21" i="2" l="1"/>
  <c r="BO21" i="2" s="1"/>
  <c r="BO20" i="2"/>
  <c r="BA56" i="2"/>
  <c r="AX54" i="2"/>
  <c r="AY6" i="2"/>
  <c r="BO27" i="2"/>
  <c r="BP27" i="2" s="1"/>
  <c r="BA54" i="2"/>
  <c r="BP18" i="2"/>
  <c r="BQ18" i="2"/>
  <c r="BQ13" i="2"/>
  <c r="BQ9" i="2"/>
  <c r="BO36" i="2"/>
  <c r="BQ36" i="2" s="1"/>
  <c r="BQ44" i="2"/>
  <c r="BQ43" i="2"/>
  <c r="BQ29" i="2"/>
  <c r="BQ40" i="2"/>
  <c r="BQ39" i="2"/>
  <c r="BQ48" i="2"/>
  <c r="BQ34" i="2"/>
  <c r="BQ42" i="2"/>
  <c r="BQ26" i="2"/>
  <c r="BP39" i="2"/>
  <c r="BQ51" i="2"/>
  <c r="BQ50" i="2"/>
  <c r="BQ53" i="2"/>
  <c r="AY15" i="2"/>
  <c r="BQ15" i="2" s="1"/>
  <c r="BQ23" i="2"/>
  <c r="AY20" i="2"/>
  <c r="BP49" i="2"/>
  <c r="BP53" i="2"/>
  <c r="BP48" i="2"/>
  <c r="BP52" i="2"/>
  <c r="BP51" i="2"/>
  <c r="BP50" i="2"/>
  <c r="BP23" i="2"/>
  <c r="BP40" i="2"/>
  <c r="BQ52" i="2"/>
  <c r="BP26" i="2"/>
  <c r="BQ49" i="2"/>
  <c r="AY41" i="2"/>
  <c r="BP41" i="2" s="1"/>
  <c r="BP43" i="2"/>
  <c r="BP42" i="2"/>
  <c r="BP34" i="2"/>
  <c r="BP44" i="2"/>
  <c r="BP29" i="2"/>
  <c r="BP13" i="2"/>
  <c r="BO56" i="2" l="1"/>
  <c r="AZ54" i="2"/>
  <c r="BP21" i="2"/>
  <c r="BQ21" i="2"/>
  <c r="BO54" i="2"/>
  <c r="AY56" i="2"/>
  <c r="AY54" i="2"/>
  <c r="BQ6" i="2"/>
  <c r="BQ27" i="2"/>
  <c r="BP6" i="2"/>
  <c r="BP36" i="2"/>
  <c r="BQ20" i="2"/>
  <c r="BQ41" i="2"/>
  <c r="BP15" i="2"/>
  <c r="BP20" i="2"/>
  <c r="BP54" i="2" l="1"/>
  <c r="BQ5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Wansley dos Santos Lima - Tecnored</author>
  </authors>
  <commentList>
    <comment ref="J7" authorId="0" shapeId="0" xr:uid="{CC16BB54-CA0B-4EFA-A4FB-C9B3EBA2F352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b/>
            <sz val="8"/>
            <color indexed="81"/>
            <rFont val="Segoe UI"/>
            <family val="2"/>
          </rPr>
          <t xml:space="preserve"> </t>
        </r>
        <r>
          <rPr>
            <sz val="8"/>
            <color indexed="81"/>
            <rFont val="Segoe UI"/>
            <family val="2"/>
          </rPr>
          <t>A FISCAL SERÁ FILARDO. SERÁ ALTERADO AQUI ASSIM QUE FOR ALTERADO NO MERCADO ELETRÔNICO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J10" authorId="0" shapeId="0" xr:uid="{BE903AE4-2539-479D-A4DB-5F9273A81160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A FISCAL SERÁ FILARDO. SERÁ ALTERADO AQUI ASSIM QUE FOR ALTERADO NO MERCADO ELETRÔNICO</t>
        </r>
      </text>
    </comment>
    <comment ref="Q15" authorId="0" shapeId="0" xr:uid="{56A84CA8-2CF8-446B-A06D-6B186908B4F3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Data da finalização do projeto
</t>
        </r>
      </text>
    </comment>
    <comment ref="S27" authorId="0" shapeId="0" xr:uid="{00FD9A56-A53D-410B-AEB8-F0EBB2C5E13B}">
      <text>
        <r>
          <rPr>
            <b/>
            <sz val="9"/>
            <color indexed="81"/>
            <rFont val="Segoe UI"/>
            <family val="2"/>
          </rPr>
          <t xml:space="preserve">Wansley dos Santos Lima - Tecnored: </t>
        </r>
        <r>
          <rPr>
            <sz val="9"/>
            <color indexed="81"/>
            <rFont val="Segoe UI"/>
            <family val="2"/>
          </rPr>
          <t>Alteração do fluxo de medição e pagamento.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E36" authorId="0" shapeId="0" xr:uid="{E897F966-D5AE-4249-ADC7-0B1346D31319}">
      <text>
        <r>
          <rPr>
            <b/>
            <sz val="9"/>
            <color indexed="81"/>
            <rFont val="Segoe UI"/>
            <family val="2"/>
          </rPr>
          <t>Wansley dos Santos Lima - Tecnored:</t>
        </r>
        <r>
          <rPr>
            <sz val="9"/>
            <color indexed="81"/>
            <rFont val="Segoe UI"/>
            <family val="2"/>
          </rPr>
          <t xml:space="preserve">
BM 29 R$ 49339,35 lançado no greeendocs mas não foi concluído. Será lançado no ME após TAC.</t>
        </r>
      </text>
    </comment>
  </commentList>
</comments>
</file>

<file path=xl/sharedStrings.xml><?xml version="1.0" encoding="utf-8"?>
<sst xmlns="http://schemas.openxmlformats.org/spreadsheetml/2006/main" count="919" uniqueCount="273">
  <si>
    <t>Atualizado em: 26/05/2026</t>
  </si>
  <si>
    <t xml:space="preserve">                              MAPA DE ACOMPANHAMENTO DE CONTRATOS - TECNORED</t>
  </si>
  <si>
    <t xml:space="preserve"> </t>
  </si>
  <si>
    <t>ORDEM</t>
  </si>
  <si>
    <t>CONTRATADA</t>
  </si>
  <si>
    <t>Nº CONTRATO</t>
  </si>
  <si>
    <t>OBJETO CONTRATUAL</t>
  </si>
  <si>
    <t>GESTÃO</t>
  </si>
  <si>
    <t>ÁREA</t>
  </si>
  <si>
    <t>GESTOR</t>
  </si>
  <si>
    <t>PREPOSTO SUBSTITUTO</t>
  </si>
  <si>
    <t>FISCAL - GED</t>
  </si>
  <si>
    <t>GESTOR OPERACIONAL</t>
  </si>
  <si>
    <t>TAC 1</t>
  </si>
  <si>
    <t>TAC 2</t>
  </si>
  <si>
    <t>TAC 3</t>
  </si>
  <si>
    <t>TAC 4</t>
  </si>
  <si>
    <t>TAC 5</t>
  </si>
  <si>
    <t>TAC 6</t>
  </si>
  <si>
    <t>VIGÊNCIA INICIAL</t>
  </si>
  <si>
    <t>PRAZO INICIAL</t>
  </si>
  <si>
    <t>PRAZO</t>
  </si>
  <si>
    <t>TACs (acréscimo total de dias)</t>
  </si>
  <si>
    <t>Nº TACs realizados</t>
  </si>
  <si>
    <t>VIGÊNCIA ATUAL</t>
  </si>
  <si>
    <t>DIAS A VENCER</t>
  </si>
  <si>
    <t>Observação</t>
  </si>
  <si>
    <t>VALOR INICIAL</t>
  </si>
  <si>
    <t>VALOR</t>
  </si>
  <si>
    <t>VALOR TACs</t>
  </si>
  <si>
    <t>VALOR ATUAL</t>
  </si>
  <si>
    <t>EXECUTADO ACUM ANO ANTERIOR</t>
  </si>
  <si>
    <t>EXECUTADO 2026</t>
  </si>
  <si>
    <t>MEDIÇÕES</t>
  </si>
  <si>
    <t>BM - ÚLTIMO</t>
  </si>
  <si>
    <t>EXECUTADO</t>
  </si>
  <si>
    <t>SALDO CONTRATUAL</t>
  </si>
  <si>
    <t>Var ∆ (%)  executado</t>
  </si>
  <si>
    <t>Envio a Suprimentos</t>
  </si>
  <si>
    <t>Envio à Cél.Contratos</t>
  </si>
  <si>
    <t>Data assinatura TAC</t>
  </si>
  <si>
    <t>MCC INTERNATIONAL INCORPORATION LTD - MINMETALS</t>
  </si>
  <si>
    <t>CON-0001/2025</t>
  </si>
  <si>
    <t>Serv especializados p/projetar, fornecer e fabricar equipts e serv tecnicos</t>
  </si>
  <si>
    <t>Pindamonhangaba</t>
  </si>
  <si>
    <t>Engenharia</t>
  </si>
  <si>
    <t>Fabricio Frois</t>
  </si>
  <si>
    <t>-</t>
  </si>
  <si>
    <t>Patrícia Filardo</t>
  </si>
  <si>
    <t>Felipe Costa</t>
  </si>
  <si>
    <t>Em tratativas especiais - definição de avanço de projeto</t>
  </si>
  <si>
    <t>ARCADIS LOGOS S.A.</t>
  </si>
  <si>
    <t>CON-0146/2024</t>
  </si>
  <si>
    <t>Serviço de EIA/Rima do Aterro Sanitário de Marabá</t>
  </si>
  <si>
    <t>Marabá</t>
  </si>
  <si>
    <t>Implantação</t>
  </si>
  <si>
    <t>Ezequiel Silva</t>
  </si>
  <si>
    <t>Maria Natalia</t>
  </si>
  <si>
    <t>DF+ ENGENHARIA GEOTECNICA E RECURSOS HIDRICOS LTDA</t>
  </si>
  <si>
    <t>CON-0140/2023</t>
  </si>
  <si>
    <t>Serviço eng detal terrap, drenagem, contenções pavim planta gusa 250KTA e análise estab.contenção</t>
  </si>
  <si>
    <t>Leandro Nascimento</t>
  </si>
  <si>
    <t>WILD &amp; PARTNER KG</t>
  </si>
  <si>
    <t>CON-0174/2025</t>
  </si>
  <si>
    <t>Consultoria - Estudos de Viabilidade</t>
  </si>
  <si>
    <t>P &amp; D</t>
  </si>
  <si>
    <t>Clarissa Gusmão</t>
  </si>
  <si>
    <t>Thais Dias</t>
  </si>
  <si>
    <t>CON-0029/2025</t>
  </si>
  <si>
    <t>Contractor shall assist TECNORED in building a value chain in torrefaction and carbonization of biomasses.</t>
  </si>
  <si>
    <t>LITORAL MED SERVIÇOS MÉDICOS LTDA</t>
  </si>
  <si>
    <t>CON-0042/2024</t>
  </si>
  <si>
    <t>Serv de remoção e resgate em ambulância no regime de prontidão operacional</t>
  </si>
  <si>
    <t>SSMA</t>
  </si>
  <si>
    <t>Maria Talon</t>
  </si>
  <si>
    <t>NA</t>
  </si>
  <si>
    <t>COELHO TECNOLOGIA LTDA</t>
  </si>
  <si>
    <t>CON-0057/2024</t>
  </si>
  <si>
    <t xml:space="preserve">Serv conectividade de internet c/cobertura wireless p/edifícios da planta de Marabá. </t>
  </si>
  <si>
    <t>TI</t>
  </si>
  <si>
    <t>Igor Roque</t>
  </si>
  <si>
    <t>Amanda Barbosa</t>
  </si>
  <si>
    <t>Marcos Muhlen</t>
  </si>
  <si>
    <t>GX E JA SERVIÇOS LTDA</t>
  </si>
  <si>
    <t>CON-0037/2025</t>
  </si>
  <si>
    <t>Serviços de auxiliar de serviços gerais e jardinagem</t>
  </si>
  <si>
    <t>Facilities</t>
  </si>
  <si>
    <t>Kleber Teixeira</t>
  </si>
  <si>
    <t>Anderson Silva</t>
  </si>
  <si>
    <t>TAC 2 de prazo/vlr em andamento:  Em tratativa no suprimentos</t>
  </si>
  <si>
    <t>PACHECO GESTÃO EMPRESARIAL LTDA</t>
  </si>
  <si>
    <t>CON-0026/2025</t>
  </si>
  <si>
    <t xml:space="preserve"> Estudo locacional de biomassas p/atender as demandas do Projeto Marabá</t>
  </si>
  <si>
    <t xml:space="preserve">YILKINS DRYING SOLUTIONS B.V.       </t>
  </si>
  <si>
    <t>CON-0194/2025</t>
  </si>
  <si>
    <t>Engenharia conceitual e design das torres de torrefação</t>
  </si>
  <si>
    <t>Gabriela Madeira</t>
  </si>
  <si>
    <t>BM de junho/26 será o último - contrato será encerrado (havendo necessidade de prazo, será emitido TEC com ajuste de prazo)</t>
  </si>
  <si>
    <t>CONTROTEST SONDAGEM E LOCACAO LTDA EPP</t>
  </si>
  <si>
    <t>CON-0170/2023</t>
  </si>
  <si>
    <t>Estudos geológicos-geotécnicos no solo por meio de sondagens</t>
  </si>
  <si>
    <t>ATKINSREALIS BRASIL LTDA</t>
  </si>
  <si>
    <t>CON-0129/2025</t>
  </si>
  <si>
    <t>Serv Eng para elaboração proj conceituais, básicos e detalhados sob demanda</t>
  </si>
  <si>
    <t>Ver com FILARDO</t>
  </si>
  <si>
    <t>TAC 1 de prazo/reajuste em andamento: Em tratativa entre área usuária e Suprimentos</t>
  </si>
  <si>
    <t>TEXS CONSULTORIA, SERVICOS E GESTAO EMPRESARIAL LTDA</t>
  </si>
  <si>
    <t>CON-0154/2025</t>
  </si>
  <si>
    <t>Estudo técnico p estrut e consolidação cadeia suprimentos biomassa energética p/proj Tecnored Mba e Inic Estratégicas Associadas</t>
  </si>
  <si>
    <t>AFRY BRASIL LTDA (antiga RETA)</t>
  </si>
  <si>
    <t>CON-0146/2025</t>
  </si>
  <si>
    <t>Serv Especializado Eng para gerenciamento executivo de projetos</t>
  </si>
  <si>
    <t>N/A</t>
  </si>
  <si>
    <t>CON-0173/2025</t>
  </si>
  <si>
    <t>Serv Especializado Eng para gerenciamento de implantação de projetos</t>
  </si>
  <si>
    <t>FGS CONSTRUTORA E SERVIÇOS LTDA</t>
  </si>
  <si>
    <t>CON-0326/2024</t>
  </si>
  <si>
    <t>Serv esp terrap, drenag, contenção, constr acessos, rem.pilhas bota espera p/implantação planta TCNRD MBA</t>
  </si>
  <si>
    <t xml:space="preserve"> SENMEQ EMPREENDIMENTOS LTDA</t>
  </si>
  <si>
    <t xml:space="preserve">ASSEPSIA DE CABINES SANITÁRIAS,DISTRIBUIÇÃO DE ÁGUA POTÁVEL </t>
  </si>
  <si>
    <t>Sub-contratada (FGS)</t>
  </si>
  <si>
    <t>Área gestora em tratativa com FGS para postergação.</t>
  </si>
  <si>
    <t>DESTINAR AMBIENTAL (antiga PCG)</t>
  </si>
  <si>
    <t>COLETA DE RESÍDUOS</t>
  </si>
  <si>
    <t xml:space="preserve"> CHEF MASTER COMERCIO DE ALIMENTOS LTDA</t>
  </si>
  <si>
    <t xml:space="preserve"> Fornec.alimentos preparados preponderantemente p/empresas</t>
  </si>
  <si>
    <t>C E S DA SILVA ALUG.MAQUINAS ANALISES DE SOLO (C T LAB)</t>
  </si>
  <si>
    <t xml:space="preserve"> CONTROLE TECNOLÓGICO DE
SOLOS E CONCRETO</t>
  </si>
  <si>
    <t>DESMOBILIZADO</t>
  </si>
  <si>
    <t>DESMOBILIZADO EM  01.11.2025 - SUBSTITUIDO PELA DESTINAR</t>
  </si>
  <si>
    <t xml:space="preserve"> PEDROSO E BASSETO SERVICOS DE ENGENHARIA LTDA EPP</t>
  </si>
  <si>
    <t>CON-0139/2025</t>
  </si>
  <si>
    <t xml:space="preserve"> Estudo téc p/estruturação consolid.da cadeia de suprimentos de biomassa energética proj Tecnored Marabá e iniciativas estrat associadas</t>
  </si>
  <si>
    <t>CECAL TECNO IND E COM EQUIP SOB ENCOMENDA</t>
  </si>
  <si>
    <t>CON-0023/2026</t>
  </si>
  <si>
    <t>Serv Especializado Eng p/revisão proj eng básica forno e topo do forno p/Marabá</t>
  </si>
  <si>
    <t>Guilherme Bessa</t>
  </si>
  <si>
    <t>tac 3 29/07/24</t>
  </si>
  <si>
    <t>HYLAND SOFTWARE BRASIL LTDA</t>
  </si>
  <si>
    <t>CON-0169/2024</t>
  </si>
  <si>
    <t xml:space="preserve">Implantação e suporte de software GED (Gerenciador Eletrônico de Documentos) </t>
  </si>
  <si>
    <t>MUNICIPIO DE MARABA</t>
  </si>
  <si>
    <t>CON-0018/2024</t>
  </si>
  <si>
    <t>Termo de doação ampliação escola JOAO XXIII</t>
  </si>
  <si>
    <t>Gabriel Burni</t>
  </si>
  <si>
    <t>O valor do termo de compromisso para a quadra é de R$ 825 mil - em jan26 com saldo de R$ 97 mil</t>
  </si>
  <si>
    <t>CON-0049/2024</t>
  </si>
  <si>
    <t xml:space="preserve">Gerenciamento para Implantação de Projeto </t>
  </si>
  <si>
    <t>J MARTINELLI SOCIEDADE DE ADVOGADOS</t>
  </si>
  <si>
    <t>CON-0241/2025</t>
  </si>
  <si>
    <t xml:space="preserve"> Serv p/opiniao legal patenteabilidade viab deposito ped patente p/briquetagem modularizada secador/forno cura modul flexivel briquetes</t>
  </si>
  <si>
    <t>Contrato totalmente executado. Conforme informado, será realizado o encerramento contratual</t>
  </si>
  <si>
    <t>MEGAFORTE SERVICE E COMERCIO LTDA</t>
  </si>
  <si>
    <t>CON-0075/2025</t>
  </si>
  <si>
    <t>Prest serv espec p/obtenção de laudo técnico de vistoria corpo de bombeiros PA (AVCB) p/elaboração e adequação de proj</t>
  </si>
  <si>
    <t xml:space="preserve"> ANDRE OLIVEIRA MORAIS SOCIEDADE INDIVIDUAL DE ADVOCACIA</t>
  </si>
  <si>
    <t>CON-0163/2025</t>
  </si>
  <si>
    <t>Consult.e assess.juríd.trab. c/atuação consult.sob demanda e contenc., incl.patroc.proc.jud.e adm.Marabá</t>
  </si>
  <si>
    <t>Célula de Contratos</t>
  </si>
  <si>
    <t xml:space="preserve">Marcela Guimarães </t>
  </si>
  <si>
    <t>FERRO &amp; MORELLI ADVOGADOS ASSOCIADOS</t>
  </si>
  <si>
    <t>CON-0167/2025</t>
  </si>
  <si>
    <t>(Modalidade Secondment) Assess.juríd.generalista c/designação de prof.c/ dedic.exclusiva à Tecnored</t>
  </si>
  <si>
    <t>CON-0168/2025</t>
  </si>
  <si>
    <t xml:space="preserve">Consultoria jurídica generalista sob demanda  </t>
  </si>
  <si>
    <t xml:space="preserve"> AGE ENGENHARIA LTDA</t>
  </si>
  <si>
    <t>CON-0067/2024</t>
  </si>
  <si>
    <t>Serv suporte diverso em eng, envolvendo cálc termodinâmicos, inventário de emissões e demais serv de eng sob demanda</t>
  </si>
  <si>
    <t>PTR ENGENHARIA LTDA</t>
  </si>
  <si>
    <t>CON-0131/2023</t>
  </si>
  <si>
    <t>Serviços Eng p/ integração SE-principal 230 KV TECNORED ao Sistema Transmissão da Rede Básica</t>
  </si>
  <si>
    <t xml:space="preserve"> Ezequiel Silva</t>
  </si>
  <si>
    <t>SENAI - SERVICO NACIONAL DE APRENDIZAGEM INDUSTRIAL (CAPACITA)</t>
  </si>
  <si>
    <t>CON-0151/2022</t>
  </si>
  <si>
    <t>Programa de Capacitação Profissional de comunidades da TECNORED S.A.</t>
  </si>
  <si>
    <t>Lais Moraes</t>
  </si>
  <si>
    <t>2 TACs realizados</t>
  </si>
  <si>
    <t>BUREAU VERITAS DO BRASIL SOCIEDADE CLASSIFICADORA E CERTIFICADORA LTDA</t>
  </si>
  <si>
    <t>CON-0153/2025</t>
  </si>
  <si>
    <t>Serviços de Suporte de Engenharia – Planejamento de Engenharia e Projetos</t>
  </si>
  <si>
    <t>Guilherme de Souza</t>
  </si>
  <si>
    <t xml:space="preserve">PROGEN PROJETOS GERENC.E ENGENHARIA SA </t>
  </si>
  <si>
    <t>CON-0182/2023</t>
  </si>
  <si>
    <t>Serv de engenharia detalhada para integração da planta de gusa 250KTA</t>
  </si>
  <si>
    <t>SEGURPRO VIGILANCIA PATRIMONIAL S.A.</t>
  </si>
  <si>
    <t>CON-0138/2025</t>
  </si>
  <si>
    <t>Serv de vigilância patrimonial cfe escopo de serviços descrito no presente contrato</t>
  </si>
  <si>
    <t xml:space="preserve"> WSP CONSULTORIA E PROJETOS DO BRASIL LTDA</t>
  </si>
  <si>
    <t>CON-0122/2023</t>
  </si>
  <si>
    <t>Serv téc esp ambiental p/atendimento às condicionantes e programas ambientais</t>
  </si>
  <si>
    <t>EQUATORIAL PARA  DISTRIBUIDORA DE ENERGIA  SA</t>
  </si>
  <si>
    <t>CON-0046/2024</t>
  </si>
  <si>
    <t>Energia elétrica - planta Tecnored Marabá</t>
  </si>
  <si>
    <t>MADEIRA E MADEIRA LTDA</t>
  </si>
  <si>
    <t>CON-0004/2026</t>
  </si>
  <si>
    <t>Serviços de consultoria especializada no gerenciamento de projetos da área ambiental do projeto Tecnored Marabá</t>
  </si>
  <si>
    <t>PRGNET SERVIÇO DE TELECOMUNICAÇÃO LTDA</t>
  </si>
  <si>
    <t>CON-0024/2025</t>
  </si>
  <si>
    <t>Locação de equip rádio comunicadores HT DEP450 e infraestrutura p/radiocomunicação</t>
  </si>
  <si>
    <t>TENAX ENGENHARIA LTDA</t>
  </si>
  <si>
    <t>CON-0041/2024</t>
  </si>
  <si>
    <t xml:space="preserve"> Serviços de engenharia especializada sob demanda Marabá</t>
  </si>
  <si>
    <t>NUSEED BRASIL (cessão pela BIOVERTIS PRODUCAO AGRICOLA LTDA)</t>
  </si>
  <si>
    <t>CON-0022/2021</t>
  </si>
  <si>
    <t xml:space="preserve"> Fornecimento de Mudas, Licenciamento e Acompanhamento técnico</t>
  </si>
  <si>
    <t>Resolução dos BMs pendentes e posterior encerramento</t>
  </si>
  <si>
    <t>VALE S.A.</t>
  </si>
  <si>
    <t>CON-0020/2024</t>
  </si>
  <si>
    <t>Locação de imóvel Marabá área 1,7809ha</t>
  </si>
  <si>
    <t xml:space="preserve"> O saldo atual, no valor de R$ 58.136,12, comporta apenas mais duas medições.</t>
  </si>
  <si>
    <t>tac 3 (contrato passou para tecnored maraba)</t>
  </si>
  <si>
    <t>TX INDUSTRIAL COMPANY LLC</t>
  </si>
  <si>
    <t>CON-0323/2024</t>
  </si>
  <si>
    <t xml:space="preserve">Serv estudo de desenvolvimento de uma joint venture e refinamento de modelo de negócio </t>
  </si>
  <si>
    <t>ENCERRADO</t>
  </si>
  <si>
    <t>Contrato encerrado com termo enviado ao jurídico em 06/04/26</t>
  </si>
  <si>
    <t>WSP CONSULTORIA E PROJETOS LTDA (ANTIGA GOLDER)</t>
  </si>
  <si>
    <t>CON-0025/2022</t>
  </si>
  <si>
    <t xml:space="preserve">Serv tec espec ambiental p/atendimento as condicionantes amb.proj.Tecnored Marabá PA </t>
  </si>
  <si>
    <t>Amanda Araujo</t>
  </si>
  <si>
    <t>TERMO DE ENCERRAMENTO ASSINADO EM 18/02/25 (DOC. DATADO DE 13/02/25)</t>
  </si>
  <si>
    <t>IMC SASTE-CONSTRUCOES, SERVICOS E COMERCIO LTDA</t>
  </si>
  <si>
    <t>CON-0064/2023</t>
  </si>
  <si>
    <t>Obras civis e montagem eletrom p/constr e melhoria edificações</t>
  </si>
  <si>
    <t>TERMO DE ENCERRAMENTO ASSINADO EM 01/07/25 (DOC. DATADO DE 27/06/25)</t>
  </si>
  <si>
    <t>tac 3 sem prazo e valor</t>
  </si>
  <si>
    <t>tac 4 01/07/24</t>
  </si>
  <si>
    <t>tac 5 28/03/25</t>
  </si>
  <si>
    <t>TENAX ENG LTDA ( ANTIGA EPC ENG)</t>
  </si>
  <si>
    <t>CON-0020/2022</t>
  </si>
  <si>
    <t>Serviço de Engenharia Básica para Integração da Planta de Gusa 250kta</t>
  </si>
  <si>
    <t>TERMO DE ENCERRAMENTO ASSINADO EM 14/10/25 (DOC. DATADO DE 13/10/25)</t>
  </si>
  <si>
    <t>CON-0019/2024</t>
  </si>
  <si>
    <t xml:space="preserve">Termo de doação infraestrutura de escola em Marabá a ser definida </t>
  </si>
  <si>
    <t>TERMO DE ENCERRAMENTO ASSINADO EM 25/06/25</t>
  </si>
  <si>
    <t xml:space="preserve">  </t>
  </si>
  <si>
    <t>3.393.477,30</t>
  </si>
  <si>
    <t>ROCHA LOCAÇÕES SERVIÇOS E TRANSPORTES LTDA</t>
  </si>
  <si>
    <t>CON-0240/2024</t>
  </si>
  <si>
    <t>Locação de caminhão PIPA com motorista, com capacidade de 20.000 litros e franquia de 3500 Km e até 200 horas ("SERVIÇOS")</t>
  </si>
  <si>
    <t>TERMO DE ENCERRAMENTO ASSINADO EM 28/01/26</t>
  </si>
  <si>
    <t>TOTAL</t>
  </si>
  <si>
    <t>GABRIEL CAVALCANTE FREITAS CONSULTORIA (3MINDS)</t>
  </si>
  <si>
    <t>CON-0167/2024</t>
  </si>
  <si>
    <t>Implantação e suporte de software GED (Gerenciador Eletrônico de Documentos)</t>
  </si>
  <si>
    <t xml:space="preserve">DESMOBILIZADO EM  31.05.2026 </t>
  </si>
  <si>
    <t>VERIFICAR</t>
  </si>
  <si>
    <t>Dolar</t>
  </si>
  <si>
    <t>Euro</t>
  </si>
  <si>
    <t/>
  </si>
  <si>
    <t xml:space="preserve">TAC 6 de reajuste contratual em assinatura </t>
  </si>
  <si>
    <t>BM 17 teve acrescimo de 555100 no acumulado de forma que o saldo do contrato ficasse igual ao logix para permitir avanço na medição e pagto do BM</t>
  </si>
  <si>
    <t>CON-0117/2022</t>
  </si>
  <si>
    <t xml:space="preserve"> EXPRESSO REDENÇÃO TRANSPORTE E TURISMO LTDA </t>
  </si>
  <si>
    <t>Transporte Coletivo  Interno e 
Externo de Funcionários</t>
  </si>
  <si>
    <t xml:space="preserve"> Kleber Teixeira</t>
  </si>
  <si>
    <t xml:space="preserve"> Anderson Portugal</t>
  </si>
  <si>
    <t>TAC 4 de prazo (acréscimo de 12 meses): aditivo foi enviado para validação da contratada.</t>
  </si>
  <si>
    <t>Em verificação na área gestora se haverá TAC com aplicação de reajuste ou apenas de prazo</t>
  </si>
  <si>
    <t xml:space="preserve"> Em verificação na área gestora se haverá TAC com aplicação de reajuste ou apenas de prazo</t>
  </si>
  <si>
    <t>TEC: Contrato em tratativa de encerramento contratual</t>
  </si>
  <si>
    <t>TAC para: (i) Extensão do prazo de vigência (+ 242 dias); (ii) Aditamento de valor (acréscimo de Hh): em coleta de assinaturas</t>
  </si>
  <si>
    <t>Em verificação na área usuária | Sem lançamento de BMs em 2026</t>
  </si>
  <si>
    <t>Em tratativa na área gestora</t>
  </si>
  <si>
    <t>MEDIÇÕES ESTÃO SUSPENSAS A PARTIR DE 21/03/2026 | Em verificação na área gestora se haverá TAC com aplicação de reajuste</t>
  </si>
  <si>
    <t>CON-0108/2023</t>
  </si>
  <si>
    <t>Serviços de gestão, intermediação e agenciamento de viagens coorporativas</t>
  </si>
  <si>
    <t>TAC : Em tratativa no jurídico</t>
  </si>
  <si>
    <t>Área de SSMA deverá verificar a necessidade de um próximo TAC.</t>
  </si>
  <si>
    <t>Atualizado em: 30/06/2026</t>
  </si>
  <si>
    <t xml:space="preserve"> LID TRAVEL VIAGENS E TURISMO LTDA (PARTE MARABÁ)</t>
  </si>
  <si>
    <t xml:space="preserve"> LID TRAVEL VIAGENS E TURISMO LTDA (PARTE PINDA)</t>
  </si>
  <si>
    <t>BM 29 R$ 49339,35 lançado no greeendocs mas não foi concluído. Será lançado no ME após atualização do TAC 4 no 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</si>
</sst>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-&quot;R$&quot;* #,##0.00_-;\-&quot;R$&quot;* #,##0.00_-;_-&quot;R$&quot;* &quot;-&quot;??_-;_-@_-"/>
    <numFmt numFmtId="166" formatCode="_(&quot;R$ &quot;* #,##0_);_(&quot;R$ &quot;* \(#,##0\);_(&quot;R$ &quot;* &quot;-&quot;_);_(@_)"/>
    <numFmt numFmtId="167" formatCode="_(&quot;R$ &quot;* #,##0.00_);_(&quot;R$ &quot;* \(#,##0.00\);_(&quot;R$ &quot;* &quot;-&quot;??_);_(@_)"/>
    <numFmt numFmtId="168" formatCode="0.0%"/>
    <numFmt numFmtId="169" formatCode="&quot;R$ &quot;#,##0.00"/>
    <numFmt numFmtId="170" formatCode="_-[$R$-416]\ * #,##0.00_-;\-[$R$-416]\ * #,##0.00_-;_-[$R$-416]\ * &quot;-&quot;??_-;_-@_-"/>
    <numFmt numFmtId="171" formatCode="&quot;Cr$&quot;#,##0\ ;\(&quot;Cr$&quot;#,##0\)"/>
    <numFmt numFmtId="172" formatCode="#."/>
    <numFmt numFmtId="173" formatCode="_([$€-2]* #,##0.00_);_([$€-2]* \(#,##0.00\);_([$€-2]* &quot;-&quot;??_)"/>
    <numFmt numFmtId="174" formatCode="_(* #,##0.00_);_(* \(#,##0.00\);_(* \-??_);_(@_)"/>
    <numFmt numFmtId="175" formatCode="&quot;R$ &quot;#,##0.00_);[Red]\(&quot;R$ &quot;#,##0.00\)"/>
    <numFmt numFmtId="176" formatCode="yyyy"/>
    <numFmt numFmtId="177" formatCode="_-* #,##0.00\ [$€]_-;\-* #,##0.00\ [$€]_-;_-* &quot;-&quot;??\ [$€]_-;_-@_-"/>
    <numFmt numFmtId="178" formatCode="#.00"/>
    <numFmt numFmtId="179" formatCode="%#.00"/>
    <numFmt numFmtId="180" formatCode="General_)"/>
    <numFmt numFmtId="181" formatCode="_-* #,##0.00\ _E_s_c_._-;\-* #,##0.00\ _E_s_c_._-;_-* &quot;-&quot;??\ _E_s_c_._-;_-@_-"/>
    <numFmt numFmtId="182" formatCode="yyyy\-mm\-dd;@"/>
    <numFmt numFmtId="183" formatCode="[$-416]dd\-mmm\-yy;@"/>
    <numFmt numFmtId="184" formatCode="#,##0\ &quot;dias&quot;"/>
    <numFmt numFmtId="185" formatCode="0.000"/>
    <numFmt numFmtId="186" formatCode="&quot;$ &quot;#,##0.00"/>
    <numFmt numFmtId="187" formatCode="&quot;€ &quot;#,##0.00"/>
  </numFmts>
  <fonts count="12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Verdana"/>
      <family val="2"/>
    </font>
    <font>
      <sz val="10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9"/>
      <color indexed="10"/>
      <name val="Geneva"/>
    </font>
    <font>
      <sz val="10"/>
      <color indexed="24"/>
      <name val="Arial"/>
      <family val="2"/>
    </font>
    <font>
      <sz val="1"/>
      <color indexed="16"/>
      <name val="Courier"/>
      <family val="3"/>
    </font>
    <font>
      <sz val="10"/>
      <name val="Helv"/>
      <charset val="204"/>
    </font>
    <font>
      <sz val="1"/>
      <color indexed="18"/>
      <name val="Courier"/>
      <family val="3"/>
    </font>
    <font>
      <b/>
      <sz val="1"/>
      <color indexed="16"/>
      <name val="Courier"/>
      <family val="3"/>
    </font>
    <font>
      <sz val="10"/>
      <name val="Arial"/>
      <family val="2"/>
    </font>
    <font>
      <b/>
      <sz val="11"/>
      <name val="Arial"/>
      <family val="2"/>
    </font>
    <font>
      <sz val="1"/>
      <color indexed="8"/>
      <name val="Courier"/>
      <family val="3"/>
    </font>
    <font>
      <b/>
      <sz val="8"/>
      <name val="Times New Roman"/>
      <family val="1"/>
    </font>
    <font>
      <b/>
      <sz val="1"/>
      <color indexed="8"/>
      <name val="Courier"/>
      <family val="3"/>
    </font>
    <font>
      <b/>
      <sz val="10"/>
      <color indexed="8"/>
      <name val="Arial"/>
      <family val="2"/>
    </font>
    <font>
      <sz val="10"/>
      <name val="Courier"/>
      <family val="3"/>
    </font>
    <font>
      <b/>
      <sz val="8"/>
      <color indexed="10"/>
      <name val="Arial"/>
      <family val="2"/>
    </font>
    <font>
      <b/>
      <sz val="7"/>
      <color indexed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indexed="17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sz val="10"/>
      <color indexed="62"/>
      <name val="Arial"/>
      <family val="2"/>
    </font>
    <font>
      <sz val="10"/>
      <color indexed="20"/>
      <name val="Arial"/>
      <family val="2"/>
    </font>
    <font>
      <sz val="10"/>
      <color indexed="60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i/>
      <sz val="10"/>
      <color indexed="23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10"/>
      <name val="Aptos"/>
      <family val="2"/>
    </font>
    <font>
      <sz val="7"/>
      <name val="Aptos"/>
      <family val="2"/>
    </font>
    <font>
      <b/>
      <sz val="10"/>
      <name val="Aptos"/>
      <family val="2"/>
    </font>
    <font>
      <sz val="8"/>
      <name val="Calibri"/>
      <family val="2"/>
    </font>
    <font>
      <sz val="10"/>
      <name val="Segoe U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10"/>
      <color theme="0"/>
      <name val="Arial"/>
      <family val="2"/>
    </font>
    <font>
      <sz val="8"/>
      <color rgb="FFFF0000"/>
      <name val="Verdana"/>
      <family val="2"/>
    </font>
    <font>
      <b/>
      <sz val="18"/>
      <color rgb="FFFFC000"/>
      <name val="Aptos"/>
      <family val="2"/>
    </font>
    <font>
      <sz val="10"/>
      <color theme="1" tint="0.249977111117893"/>
      <name val="Segoe UI"/>
      <family val="2"/>
    </font>
    <font>
      <sz val="10"/>
      <color rgb="FF000000"/>
      <name val="Aptos"/>
      <family val="2"/>
    </font>
    <font>
      <sz val="10"/>
      <color theme="0" tint="-0.14996795556505021"/>
      <name val="Aptos"/>
      <family val="2"/>
    </font>
    <font>
      <b/>
      <sz val="10"/>
      <color theme="0"/>
      <name val="Segoe UI"/>
      <family val="2"/>
    </font>
    <font>
      <sz val="12"/>
      <color rgb="FFFFC000"/>
      <name val="Aptos"/>
      <family val="2"/>
    </font>
    <font>
      <sz val="8"/>
      <color theme="1" tint="0.249977111117893"/>
      <name val="Segoe UI"/>
      <family val="2"/>
    </font>
    <font>
      <sz val="10"/>
      <color rgb="FF000000"/>
      <name val="Segoe UI"/>
      <family val="2"/>
    </font>
    <font>
      <sz val="9"/>
      <color theme="1" tint="0.249977111117893"/>
      <name val="Segoe UI"/>
      <family val="2"/>
    </font>
    <font>
      <b/>
      <sz val="12"/>
      <color rgb="FFFFC000"/>
      <name val="Aptos"/>
      <family val="2"/>
    </font>
    <font>
      <b/>
      <sz val="15"/>
      <color rgb="FFFFC000"/>
      <name val="Aptos"/>
      <family val="2"/>
    </font>
    <font>
      <b/>
      <sz val="18"/>
      <color rgb="FF008080"/>
      <name val="Aptos"/>
      <family val="2"/>
    </font>
    <font>
      <sz val="7.5"/>
      <name val="Segoe UI"/>
      <family val="2"/>
    </font>
    <font>
      <sz val="10"/>
      <color theme="1"/>
      <name val="Calibri"/>
      <family val="2"/>
    </font>
    <font>
      <b/>
      <sz val="18"/>
      <color theme="0" tint="-0.249977111117893"/>
      <name val="Aptos"/>
      <family val="2"/>
    </font>
    <font>
      <b/>
      <sz val="10"/>
      <color theme="0" tint="-0.249977111117893"/>
      <name val="Segoe UI"/>
      <family val="2"/>
    </font>
    <font>
      <sz val="8"/>
      <color theme="0" tint="-0.249977111117893"/>
      <name val="Verdana"/>
      <family val="2"/>
    </font>
    <font>
      <sz val="10"/>
      <color theme="0" tint="-0.249977111117893"/>
      <name val="Calibri"/>
      <family val="2"/>
    </font>
    <font>
      <b/>
      <sz val="18"/>
      <color theme="0" tint="-0.14999847407452621"/>
      <name val="Aptos"/>
      <family val="2"/>
    </font>
    <font>
      <b/>
      <sz val="10"/>
      <color theme="0" tint="-0.14999847407452621"/>
      <name val="Segoe UI"/>
      <family val="2"/>
    </font>
    <font>
      <sz val="9"/>
      <color theme="0" tint="-0.14999847407452621"/>
      <name val="Segoe UI"/>
      <family val="2"/>
    </font>
    <font>
      <sz val="12"/>
      <color theme="0" tint="-0.14999847407452621"/>
      <name val="Aptos"/>
      <family val="2"/>
    </font>
    <font>
      <b/>
      <sz val="12"/>
      <color theme="0" tint="-4.9989318521683403E-2"/>
      <name val="Aptos"/>
      <family val="2"/>
    </font>
    <font>
      <b/>
      <sz val="10"/>
      <color theme="0" tint="-4.9989318521683403E-2"/>
      <name val="Segoe UI"/>
      <family val="2"/>
    </font>
    <font>
      <sz val="12"/>
      <color theme="0" tint="-4.9989318521683403E-2"/>
      <name val="Aptos"/>
      <family val="2"/>
    </font>
    <font>
      <b/>
      <sz val="12"/>
      <color theme="0" tint="-4.9989318521683403E-2"/>
      <name val="Segoe UI"/>
      <family val="2"/>
    </font>
    <font>
      <sz val="12"/>
      <color theme="0" tint="-4.9989318521683403E-2"/>
      <name val="Segoe UI"/>
      <family val="2"/>
    </font>
    <font>
      <b/>
      <i/>
      <sz val="16"/>
      <color theme="0" tint="-0.14999847407452621"/>
      <name val="Segoe UI"/>
      <family val="2"/>
    </font>
    <font>
      <sz val="8"/>
      <color rgb="FF006666"/>
      <name val="Aptos"/>
      <family val="2"/>
    </font>
    <font>
      <b/>
      <sz val="18"/>
      <color rgb="FF006666"/>
      <name val="Aptos"/>
      <family val="2"/>
    </font>
    <font>
      <b/>
      <sz val="10"/>
      <color rgb="FF006666"/>
      <name val="Aptos"/>
      <family val="2"/>
    </font>
    <font>
      <sz val="8"/>
      <color rgb="FF000000"/>
      <name val="Verdana"/>
      <family val="2"/>
    </font>
    <font>
      <sz val="12"/>
      <color rgb="FFD9D9D9"/>
      <name val="Aptos"/>
      <family val="2"/>
    </font>
    <font>
      <b/>
      <sz val="10"/>
      <color rgb="FFBFBFBF"/>
      <name val="Segoe UI"/>
      <family val="2"/>
    </font>
    <font>
      <sz val="10"/>
      <color rgb="FF404040"/>
      <name val="Segoe UI"/>
      <family val="2"/>
    </font>
    <font>
      <sz val="10"/>
      <color rgb="FF006666"/>
      <name val="Calibri"/>
      <family val="2"/>
    </font>
    <font>
      <sz val="10"/>
      <color rgb="FF006666"/>
      <name val="Arial"/>
      <family val="2"/>
    </font>
    <font>
      <sz val="10"/>
      <color theme="0" tint="-4.9989318521683403E-2"/>
      <name val="Arial"/>
      <family val="2"/>
    </font>
    <font>
      <b/>
      <sz val="8"/>
      <color indexed="81"/>
      <name val="Segoe UI"/>
      <family val="2"/>
    </font>
    <font>
      <sz val="8"/>
      <color indexed="81"/>
      <name val="Segoe UI"/>
      <family val="2"/>
    </font>
    <font>
      <sz val="7"/>
      <color rgb="FF343A40"/>
      <name val="Segoe UI"/>
      <family val="2"/>
    </font>
  </fonts>
  <fills count="4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42"/>
        <bgColor indexed="64"/>
      </patternFill>
    </fill>
    <fill>
      <patternFill patternType="solid">
        <fgColor indexed="26"/>
      </patternFill>
    </fill>
    <fill>
      <patternFill patternType="solid">
        <fgColor indexed="21"/>
        <bgColor indexed="64"/>
      </patternFill>
    </fill>
    <fill>
      <patternFill patternType="solid">
        <fgColor rgb="FF008080"/>
        <bgColor indexed="64"/>
      </patternFill>
    </fill>
    <fill>
      <patternFill patternType="darkGray">
        <fgColor theme="0" tint="-0.149967955565050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009999"/>
        <bgColor rgb="FF000000"/>
      </patternFill>
    </fill>
    <fill>
      <patternFill patternType="solid">
        <fgColor rgb="FF008080"/>
        <bgColor rgb="FF000000"/>
      </patternFill>
    </fill>
    <fill>
      <patternFill patternType="solid">
        <fgColor rgb="FFFFFFE5"/>
        <bgColor indexed="64"/>
      </patternFill>
    </fill>
    <fill>
      <patternFill patternType="solid">
        <fgColor rgb="FFEFFFF8"/>
        <bgColor indexed="64"/>
      </patternFill>
    </fill>
    <fill>
      <patternFill patternType="darkGray">
        <fgColor theme="0" tint="-0.14996795556505021"/>
        <bgColor theme="0" tint="-0.249977111117893"/>
      </patternFill>
    </fill>
    <fill>
      <patternFill patternType="solid">
        <fgColor theme="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FFFFFF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1"/>
      </left>
      <right/>
      <top style="medium">
        <color theme="0" tint="-4.9989318521683403E-2"/>
      </top>
      <bottom style="thin">
        <color theme="1"/>
      </bottom>
      <diagonal/>
    </border>
    <border>
      <left/>
      <right/>
      <top style="medium">
        <color theme="0" tint="-4.9989318521683403E-2"/>
      </top>
      <bottom style="thin">
        <color theme="1"/>
      </bottom>
      <diagonal/>
    </border>
    <border>
      <left/>
      <right style="thin">
        <color theme="1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0" tint="-4.9989318521683403E-2"/>
      </bottom>
      <diagonal/>
    </border>
    <border>
      <left style="thin">
        <color indexed="64"/>
      </left>
      <right/>
      <top style="medium">
        <color theme="0" tint="-4.9989318521683403E-2"/>
      </top>
      <bottom style="thin">
        <color indexed="64"/>
      </bottom>
      <diagonal/>
    </border>
    <border>
      <left/>
      <right/>
      <top style="medium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medium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thin">
        <color indexed="64"/>
      </left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indexed="64"/>
      </left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indexed="64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indexed="64"/>
      </right>
      <top/>
      <bottom style="medium">
        <color theme="0" tint="-4.9989318521683403E-2"/>
      </bottom>
      <diagonal/>
    </border>
    <border>
      <left style="thin">
        <color indexed="64"/>
      </left>
      <right/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 style="thin">
        <color theme="1"/>
      </bottom>
      <diagonal/>
    </border>
    <border>
      <left style="medium">
        <color theme="0" tint="-4.9989318521683403E-2"/>
      </left>
      <right style="thin">
        <color theme="1"/>
      </right>
      <top style="thin">
        <color theme="1"/>
      </top>
      <bottom style="medium">
        <color theme="0" tint="-4.9989318521683403E-2"/>
      </bottom>
      <diagonal/>
    </border>
    <border>
      <left/>
      <right style="thin">
        <color indexed="64"/>
      </right>
      <top style="medium">
        <color theme="0" tint="-4.9989318521683403E-2"/>
      </top>
      <bottom/>
      <diagonal/>
    </border>
    <border>
      <left/>
      <right style="thin">
        <color indexed="64"/>
      </right>
      <top/>
      <bottom style="medium">
        <color theme="0" tint="-4.9989318521683403E-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4.9989318521683403E-2"/>
      </left>
      <right style="thin">
        <color theme="1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medium">
        <color theme="0" tint="-4.9989318521683403E-2"/>
      </right>
      <top style="medium">
        <color theme="0" tint="-4.9989318521683403E-2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 tint="-4.9989318521683403E-2"/>
      </bottom>
      <diagonal/>
    </border>
    <border>
      <left style="thin">
        <color theme="1"/>
      </left>
      <right style="medium">
        <color theme="0" tint="-4.9989318521683403E-2"/>
      </right>
      <top style="thin">
        <color theme="1"/>
      </top>
      <bottom style="medium">
        <color theme="0" tint="-4.9989318521683403E-2"/>
      </bottom>
      <diagonal/>
    </border>
    <border>
      <left/>
      <right style="thin">
        <color theme="1"/>
      </right>
      <top style="thin">
        <color theme="1"/>
      </top>
      <bottom style="medium">
        <color theme="0" tint="-4.9989318521683403E-2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medium">
        <color theme="0" tint="-4.9989318521683403E-2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medium">
        <color theme="0" tint="-4.9989318521683403E-2"/>
      </top>
      <bottom/>
      <diagonal/>
    </border>
    <border>
      <left style="thin">
        <color theme="1"/>
      </left>
      <right/>
      <top style="thin">
        <color theme="1"/>
      </top>
      <bottom style="medium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indexed="64"/>
      </left>
      <right/>
      <top style="medium">
        <color theme="0" tint="-0.14999847407452621"/>
      </top>
      <bottom style="thin">
        <color indexed="64"/>
      </bottom>
      <diagonal/>
    </border>
    <border>
      <left/>
      <right/>
      <top style="medium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medium">
        <color theme="0" tint="-0.14999847407452621"/>
      </top>
      <bottom style="thin">
        <color indexed="64"/>
      </bottom>
      <diagonal/>
    </border>
  </borders>
  <cellStyleXfs count="833">
    <xf numFmtId="0" fontId="0" fillId="0" borderId="0"/>
    <xf numFmtId="170" fontId="7" fillId="0" borderId="0"/>
    <xf numFmtId="170" fontId="7" fillId="0" borderId="0"/>
    <xf numFmtId="180" fontId="37" fillId="0" borderId="1" applyBorder="0" applyAlignment="0">
      <alignment horizontal="center" vertical="center"/>
    </xf>
    <xf numFmtId="180" fontId="10" fillId="0" borderId="1" applyBorder="0" applyAlignment="0">
      <alignment horizontal="center"/>
    </xf>
    <xf numFmtId="180" fontId="13" fillId="0" borderId="1" applyBorder="0" applyAlignment="0">
      <alignment horizontal="center" vertical="center"/>
    </xf>
    <xf numFmtId="180" fontId="11" fillId="0" borderId="1" applyBorder="0" applyAlignment="0">
      <alignment horizontal="center"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2" borderId="0" applyNumberFormat="0" applyBorder="0" applyAlignment="0" applyProtection="0"/>
    <xf numFmtId="183" fontId="29" fillId="2" borderId="0" applyNumberFormat="0" applyBorder="0" applyAlignment="0" applyProtection="0"/>
    <xf numFmtId="0" fontId="1" fillId="3" borderId="0" applyNumberFormat="0" applyBorder="0" applyAlignment="0" applyProtection="0"/>
    <xf numFmtId="183" fontId="29" fillId="3" borderId="0" applyNumberFormat="0" applyBorder="0" applyAlignment="0" applyProtection="0"/>
    <xf numFmtId="0" fontId="1" fillId="4" borderId="0" applyNumberFormat="0" applyBorder="0" applyAlignment="0" applyProtection="0"/>
    <xf numFmtId="183" fontId="29" fillId="4" borderId="0" applyNumberFormat="0" applyBorder="0" applyAlignment="0" applyProtection="0"/>
    <xf numFmtId="0" fontId="1" fillId="5" borderId="0" applyNumberFormat="0" applyBorder="0" applyAlignment="0" applyProtection="0"/>
    <xf numFmtId="183" fontId="29" fillId="5" borderId="0" applyNumberFormat="0" applyBorder="0" applyAlignment="0" applyProtection="0"/>
    <xf numFmtId="0" fontId="1" fillId="6" borderId="0" applyNumberFormat="0" applyBorder="0" applyAlignment="0" applyProtection="0"/>
    <xf numFmtId="183" fontId="29" fillId="6" borderId="0" applyNumberFormat="0" applyBorder="0" applyAlignment="0" applyProtection="0"/>
    <xf numFmtId="0" fontId="1" fillId="7" borderId="0" applyNumberFormat="0" applyBorder="0" applyAlignment="0" applyProtection="0"/>
    <xf numFmtId="183" fontId="29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8" borderId="0" applyNumberFormat="0" applyBorder="0" applyAlignment="0" applyProtection="0"/>
    <xf numFmtId="183" fontId="29" fillId="8" borderId="0" applyNumberFormat="0" applyBorder="0" applyAlignment="0" applyProtection="0"/>
    <xf numFmtId="0" fontId="1" fillId="9" borderId="0" applyNumberFormat="0" applyBorder="0" applyAlignment="0" applyProtection="0"/>
    <xf numFmtId="183" fontId="29" fillId="9" borderId="0" applyNumberFormat="0" applyBorder="0" applyAlignment="0" applyProtection="0"/>
    <xf numFmtId="0" fontId="1" fillId="10" borderId="0" applyNumberFormat="0" applyBorder="0" applyAlignment="0" applyProtection="0"/>
    <xf numFmtId="183" fontId="29" fillId="10" borderId="0" applyNumberFormat="0" applyBorder="0" applyAlignment="0" applyProtection="0"/>
    <xf numFmtId="0" fontId="1" fillId="5" borderId="0" applyNumberFormat="0" applyBorder="0" applyAlignment="0" applyProtection="0"/>
    <xf numFmtId="183" fontId="29" fillId="5" borderId="0" applyNumberFormat="0" applyBorder="0" applyAlignment="0" applyProtection="0"/>
    <xf numFmtId="0" fontId="1" fillId="8" borderId="0" applyNumberFormat="0" applyBorder="0" applyAlignment="0" applyProtection="0"/>
    <xf numFmtId="183" fontId="29" fillId="8" borderId="0" applyNumberFormat="0" applyBorder="0" applyAlignment="0" applyProtection="0"/>
    <xf numFmtId="0" fontId="1" fillId="11" borderId="0" applyNumberFormat="0" applyBorder="0" applyAlignment="0" applyProtection="0"/>
    <xf numFmtId="183" fontId="29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183" fontId="47" fillId="12" borderId="0" applyNumberFormat="0" applyBorder="0" applyAlignment="0" applyProtection="0"/>
    <xf numFmtId="0" fontId="5" fillId="9" borderId="0" applyNumberFormat="0" applyBorder="0" applyAlignment="0" applyProtection="0"/>
    <xf numFmtId="183" fontId="47" fillId="9" borderId="0" applyNumberFormat="0" applyBorder="0" applyAlignment="0" applyProtection="0"/>
    <xf numFmtId="0" fontId="5" fillId="10" borderId="0" applyNumberFormat="0" applyBorder="0" applyAlignment="0" applyProtection="0"/>
    <xf numFmtId="183" fontId="47" fillId="10" borderId="0" applyNumberFormat="0" applyBorder="0" applyAlignment="0" applyProtection="0"/>
    <xf numFmtId="0" fontId="5" fillId="13" borderId="0" applyNumberFormat="0" applyBorder="0" applyAlignment="0" applyProtection="0"/>
    <xf numFmtId="183" fontId="47" fillId="13" borderId="0" applyNumberFormat="0" applyBorder="0" applyAlignment="0" applyProtection="0"/>
    <xf numFmtId="0" fontId="5" fillId="14" borderId="0" applyNumberFormat="0" applyBorder="0" applyAlignment="0" applyProtection="0"/>
    <xf numFmtId="183" fontId="47" fillId="14" borderId="0" applyNumberFormat="0" applyBorder="0" applyAlignment="0" applyProtection="0"/>
    <xf numFmtId="0" fontId="5" fillId="15" borderId="0" applyNumberFormat="0" applyBorder="0" applyAlignment="0" applyProtection="0"/>
    <xf numFmtId="183" fontId="47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19" fillId="3" borderId="0" applyNumberFormat="0" applyBorder="0" applyAlignment="0" applyProtection="0"/>
    <xf numFmtId="0" fontId="14" fillId="4" borderId="0" applyNumberFormat="0" applyBorder="0" applyAlignment="0" applyProtection="0"/>
    <xf numFmtId="183" fontId="48" fillId="4" borderId="0" applyNumberFormat="0" applyBorder="0" applyAlignment="0" applyProtection="0"/>
    <xf numFmtId="0" fontId="11" fillId="20" borderId="2" applyNumberFormat="0" applyFont="0" applyBorder="0" applyAlignment="0">
      <alignment horizontal="left" vertical="center"/>
    </xf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15" fillId="21" borderId="6" applyNumberFormat="0" applyAlignment="0" applyProtection="0"/>
    <xf numFmtId="0" fontId="15" fillId="21" borderId="6" applyNumberFormat="0" applyAlignment="0" applyProtection="0"/>
    <xf numFmtId="0" fontId="15" fillId="21" borderId="6" applyNumberFormat="0" applyAlignment="0" applyProtection="0"/>
    <xf numFmtId="0" fontId="15" fillId="21" borderId="6" applyNumberFormat="0" applyAlignment="0" applyProtection="0"/>
    <xf numFmtId="183" fontId="49" fillId="21" borderId="6" applyNumberFormat="0" applyAlignment="0" applyProtection="0"/>
    <xf numFmtId="0" fontId="15" fillId="21" borderId="6" applyNumberFormat="0" applyAlignment="0" applyProtection="0"/>
    <xf numFmtId="0" fontId="30" fillId="0" borderId="0"/>
    <xf numFmtId="0" fontId="7" fillId="0" borderId="0"/>
    <xf numFmtId="0" fontId="4" fillId="22" borderId="7" applyNumberFormat="0" applyAlignment="0" applyProtection="0"/>
    <xf numFmtId="183" fontId="50" fillId="22" borderId="7" applyNumberFormat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183" fontId="51" fillId="0" borderId="8" applyNumberFormat="0" applyFill="0" applyAlignment="0" applyProtection="0"/>
    <xf numFmtId="0" fontId="4" fillId="22" borderId="7" applyNumberFormat="0" applyAlignment="0" applyProtection="0"/>
    <xf numFmtId="43" fontId="7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14" fillId="4" borderId="0" applyNumberFormat="0" applyBorder="0" applyAlignment="0" applyProtection="0"/>
    <xf numFmtId="49" fontId="41" fillId="23" borderId="9" applyNumberFormat="0" applyBorder="0" applyAlignment="0">
      <alignment horizontal="left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71" fontId="31" fillId="0" borderId="0" applyFont="0" applyFill="0" applyBorder="0" applyAlignment="0" applyProtection="0"/>
    <xf numFmtId="171" fontId="31" fillId="0" borderId="0" applyFont="0" applyFill="0" applyBorder="0" applyAlignment="0" applyProtection="0"/>
    <xf numFmtId="172" fontId="32" fillId="0" borderId="0">
      <protection locked="0"/>
    </xf>
    <xf numFmtId="176" fontId="38" fillId="0" borderId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" fillId="16" borderId="0" applyNumberFormat="0" applyBorder="0" applyAlignment="0" applyProtection="0"/>
    <xf numFmtId="183" fontId="47" fillId="16" borderId="0" applyNumberFormat="0" applyBorder="0" applyAlignment="0" applyProtection="0"/>
    <xf numFmtId="0" fontId="5" fillId="17" borderId="0" applyNumberFormat="0" applyBorder="0" applyAlignment="0" applyProtection="0"/>
    <xf numFmtId="183" fontId="47" fillId="17" borderId="0" applyNumberFormat="0" applyBorder="0" applyAlignment="0" applyProtection="0"/>
    <xf numFmtId="0" fontId="5" fillId="18" borderId="0" applyNumberFormat="0" applyBorder="0" applyAlignment="0" applyProtection="0"/>
    <xf numFmtId="183" fontId="47" fillId="18" borderId="0" applyNumberFormat="0" applyBorder="0" applyAlignment="0" applyProtection="0"/>
    <xf numFmtId="0" fontId="5" fillId="13" borderId="0" applyNumberFormat="0" applyBorder="0" applyAlignment="0" applyProtection="0"/>
    <xf numFmtId="183" fontId="47" fillId="13" borderId="0" applyNumberFormat="0" applyBorder="0" applyAlignment="0" applyProtection="0"/>
    <xf numFmtId="0" fontId="5" fillId="14" borderId="0" applyNumberFormat="0" applyBorder="0" applyAlignment="0" applyProtection="0"/>
    <xf numFmtId="183" fontId="47" fillId="14" borderId="0" applyNumberFormat="0" applyBorder="0" applyAlignment="0" applyProtection="0"/>
    <xf numFmtId="0" fontId="5" fillId="19" borderId="0" applyNumberFormat="0" applyBorder="0" applyAlignment="0" applyProtection="0"/>
    <xf numFmtId="183" fontId="47" fillId="19" borderId="0" applyNumberFormat="0" applyBorder="0" applyAlignment="0" applyProtection="0"/>
    <xf numFmtId="0" fontId="17" fillId="7" borderId="6" applyNumberFormat="0" applyAlignment="0" applyProtection="0"/>
    <xf numFmtId="0" fontId="17" fillId="7" borderId="6" applyNumberFormat="0" applyAlignment="0" applyProtection="0"/>
    <xf numFmtId="183" fontId="52" fillId="7" borderId="6" applyNumberFormat="0" applyAlignment="0" applyProtection="0"/>
    <xf numFmtId="0" fontId="17" fillId="7" borderId="6" applyNumberFormat="0" applyAlignment="0" applyProtection="0"/>
    <xf numFmtId="0" fontId="33" fillId="0" borderId="0"/>
    <xf numFmtId="173" fontId="7" fillId="0" borderId="0" applyFont="0" applyFill="0" applyBorder="0" applyAlignment="0" applyProtection="0"/>
    <xf numFmtId="177" fontId="7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172" fontId="32" fillId="0" borderId="0">
      <protection locked="0"/>
    </xf>
    <xf numFmtId="178" fontId="38" fillId="0" borderId="0">
      <protection locked="0"/>
    </xf>
    <xf numFmtId="0" fontId="14" fillId="4" borderId="0" applyNumberFormat="0" applyBorder="0" applyAlignment="0" applyProtection="0"/>
    <xf numFmtId="0" fontId="24" fillId="0" borderId="3" applyNumberFormat="0" applyFill="0" applyAlignment="0" applyProtection="0"/>
    <xf numFmtId="0" fontId="25" fillId="0" borderId="4" applyNumberFormat="0" applyFill="0" applyAlignment="0" applyProtection="0"/>
    <xf numFmtId="0" fontId="26" fillId="0" borderId="5" applyNumberFormat="0" applyFill="0" applyAlignment="0" applyProtection="0"/>
    <xf numFmtId="0" fontId="26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/>
    <xf numFmtId="183" fontId="53" fillId="3" borderId="0" applyNumberFormat="0" applyBorder="0" applyAlignment="0" applyProtection="0"/>
    <xf numFmtId="0" fontId="19" fillId="3" borderId="0" applyNumberFormat="0" applyBorder="0" applyAlignment="0" applyProtection="0"/>
    <xf numFmtId="0" fontId="42" fillId="0" borderId="0"/>
    <xf numFmtId="0" fontId="17" fillId="7" borderId="6" applyNumberFormat="0" applyAlignment="0" applyProtection="0"/>
    <xf numFmtId="0" fontId="17" fillId="7" borderId="6" applyNumberFormat="0" applyAlignment="0" applyProtection="0"/>
    <xf numFmtId="0" fontId="12" fillId="24" borderId="0"/>
    <xf numFmtId="0" fontId="16" fillId="0" borderId="8" applyNumberFormat="0" applyFill="0" applyAlignment="0" applyProtection="0"/>
    <xf numFmtId="167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7" fontId="7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ill="0" applyBorder="0" applyAlignment="0" applyProtection="0"/>
    <xf numFmtId="44" fontId="7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1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183" fontId="54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49" fontId="13" fillId="26" borderId="10" applyNumberFormat="0" applyBorder="0" applyAlignment="0">
      <alignment horizontal="left" vertical="center" wrapText="1"/>
    </xf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28" fillId="0" borderId="0"/>
    <xf numFmtId="0" fontId="7" fillId="0" borderId="0"/>
    <xf numFmtId="0" fontId="28" fillId="0" borderId="0"/>
    <xf numFmtId="0" fontId="7" fillId="0" borderId="0"/>
    <xf numFmtId="0" fontId="71" fillId="0" borderId="0"/>
    <xf numFmtId="0" fontId="7" fillId="0" borderId="0"/>
    <xf numFmtId="0" fontId="36" fillId="0" borderId="0"/>
    <xf numFmtId="0" fontId="71" fillId="0" borderId="0"/>
    <xf numFmtId="0" fontId="7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" fillId="0" borderId="0"/>
    <xf numFmtId="0" fontId="7" fillId="0" borderId="0"/>
    <xf numFmtId="0" fontId="7" fillId="0" borderId="0"/>
    <xf numFmtId="0" fontId="46" fillId="0" borderId="0"/>
    <xf numFmtId="0" fontId="71" fillId="0" borderId="0"/>
    <xf numFmtId="0" fontId="28" fillId="0" borderId="0"/>
    <xf numFmtId="0" fontId="71" fillId="0" borderId="0"/>
    <xf numFmtId="0" fontId="46" fillId="0" borderId="0"/>
    <xf numFmtId="170" fontId="7" fillId="0" borderId="0"/>
    <xf numFmtId="0" fontId="28" fillId="0" borderId="0"/>
    <xf numFmtId="0" fontId="7" fillId="0" borderId="0"/>
    <xf numFmtId="0" fontId="7" fillId="0" borderId="0"/>
    <xf numFmtId="0" fontId="28" fillId="0" borderId="0"/>
    <xf numFmtId="0" fontId="7" fillId="0" borderId="0"/>
    <xf numFmtId="0" fontId="28" fillId="0" borderId="0"/>
    <xf numFmtId="0" fontId="71" fillId="0" borderId="0"/>
    <xf numFmtId="0" fontId="71" fillId="0" borderId="0"/>
    <xf numFmtId="0" fontId="7" fillId="0" borderId="0"/>
    <xf numFmtId="0" fontId="28" fillId="0" borderId="0"/>
    <xf numFmtId="0" fontId="71" fillId="0" borderId="0"/>
    <xf numFmtId="183" fontId="7" fillId="0" borderId="0"/>
    <xf numFmtId="0" fontId="28" fillId="0" borderId="0"/>
    <xf numFmtId="0" fontId="7" fillId="0" borderId="0"/>
    <xf numFmtId="0" fontId="46" fillId="0" borderId="0"/>
    <xf numFmtId="0" fontId="46" fillId="0" borderId="0"/>
    <xf numFmtId="0" fontId="46" fillId="0" borderId="0"/>
    <xf numFmtId="183" fontId="7" fillId="0" borderId="0"/>
    <xf numFmtId="0" fontId="7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1" fillId="0" borderId="0"/>
    <xf numFmtId="0" fontId="63" fillId="0" borderId="0"/>
    <xf numFmtId="0" fontId="7" fillId="0" borderId="0"/>
    <xf numFmtId="0" fontId="29" fillId="0" borderId="0"/>
    <xf numFmtId="0" fontId="29" fillId="0" borderId="0"/>
    <xf numFmtId="0" fontId="7" fillId="0" borderId="0"/>
    <xf numFmtId="0" fontId="28" fillId="0" borderId="0"/>
    <xf numFmtId="0" fontId="7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71" fillId="0" borderId="0"/>
    <xf numFmtId="0" fontId="7" fillId="0" borderId="0"/>
    <xf numFmtId="0" fontId="63" fillId="0" borderId="0"/>
    <xf numFmtId="0" fontId="63" fillId="0" borderId="0"/>
    <xf numFmtId="0" fontId="63" fillId="0" borderId="0"/>
    <xf numFmtId="0" fontId="64" fillId="0" borderId="0"/>
    <xf numFmtId="0" fontId="64" fillId="0" borderId="0"/>
    <xf numFmtId="0" fontId="64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29" fillId="0" borderId="0"/>
    <xf numFmtId="0" fontId="28" fillId="0" borderId="0"/>
    <xf numFmtId="0" fontId="71" fillId="0" borderId="0"/>
    <xf numFmtId="0" fontId="71" fillId="0" borderId="0"/>
    <xf numFmtId="0" fontId="7" fillId="0" borderId="0"/>
    <xf numFmtId="0" fontId="28" fillId="0" borderId="0"/>
    <xf numFmtId="0" fontId="28" fillId="0" borderId="0"/>
    <xf numFmtId="0" fontId="28" fillId="0" borderId="0"/>
    <xf numFmtId="0" fontId="7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1" fillId="0" borderId="0"/>
    <xf numFmtId="0" fontId="7" fillId="0" borderId="0"/>
    <xf numFmtId="0" fontId="71" fillId="0" borderId="0"/>
    <xf numFmtId="0" fontId="1" fillId="0" borderId="0"/>
    <xf numFmtId="0" fontId="7" fillId="0" borderId="0">
      <alignment vertical="top"/>
    </xf>
    <xf numFmtId="0" fontId="7" fillId="0" borderId="0"/>
    <xf numFmtId="0" fontId="7" fillId="0" borderId="0"/>
    <xf numFmtId="0" fontId="71" fillId="0" borderId="0"/>
    <xf numFmtId="0" fontId="28" fillId="0" borderId="0"/>
    <xf numFmtId="0" fontId="7" fillId="0" borderId="0"/>
    <xf numFmtId="0" fontId="7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" fillId="0" borderId="0"/>
    <xf numFmtId="0" fontId="65" fillId="0" borderId="0" applyProtection="0"/>
    <xf numFmtId="0" fontId="71" fillId="0" borderId="0"/>
    <xf numFmtId="0" fontId="72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2" fillId="0" borderId="0"/>
    <xf numFmtId="0" fontId="71" fillId="0" borderId="0"/>
    <xf numFmtId="43" fontId="28" fillId="0" borderId="0"/>
    <xf numFmtId="0" fontId="28" fillId="0" borderId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183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7" fillId="27" borderId="11" applyNumberFormat="0" applyFont="0" applyAlignment="0" applyProtection="0"/>
    <xf numFmtId="0" fontId="12" fillId="24" borderId="0" applyFont="0"/>
    <xf numFmtId="0" fontId="20" fillId="21" borderId="12" applyNumberFormat="0" applyAlignment="0" applyProtection="0"/>
    <xf numFmtId="0" fontId="20" fillId="21" borderId="12" applyNumberForma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72" fontId="32" fillId="0" borderId="0">
      <protection locked="0"/>
    </xf>
    <xf numFmtId="179" fontId="38" fillId="0" borderId="0">
      <protection locked="0"/>
    </xf>
    <xf numFmtId="0" fontId="39" fillId="0" borderId="13" applyNumberFormat="0" applyFont="0" applyBorder="0" applyAlignment="0"/>
    <xf numFmtId="172" fontId="32" fillId="0" borderId="0">
      <protection locked="0"/>
    </xf>
    <xf numFmtId="4" fontId="38" fillId="0" borderId="0">
      <protection locked="0"/>
    </xf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7" fillId="0" borderId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7" fillId="0" borderId="0" applyFill="0" applyBorder="0" applyAlignment="0" applyProtection="0"/>
    <xf numFmtId="9" fontId="6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1" fillId="0" borderId="0" applyFont="0" applyFill="0" applyBorder="0" applyAlignment="0" applyProtection="0"/>
    <xf numFmtId="0" fontId="19" fillId="3" borderId="0" applyNumberFormat="0" applyBorder="0" applyAlignment="0" applyProtection="0"/>
    <xf numFmtId="0" fontId="20" fillId="21" borderId="12" applyNumberFormat="0" applyAlignment="0" applyProtection="0"/>
    <xf numFmtId="0" fontId="20" fillId="21" borderId="12" applyNumberFormat="0" applyAlignment="0" applyProtection="0"/>
    <xf numFmtId="183" fontId="55" fillId="21" borderId="12" applyNumberFormat="0" applyAlignment="0" applyProtection="0"/>
    <xf numFmtId="0" fontId="20" fillId="21" borderId="12" applyNumberFormat="0" applyAlignment="0" applyProtection="0"/>
    <xf numFmtId="172" fontId="34" fillId="0" borderId="0">
      <protection locked="0"/>
    </xf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5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4" fontId="7" fillId="0" borderId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5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76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3" fillId="20" borderId="14" applyNumberFormat="0" applyBorder="0" applyAlignment="0">
      <alignment horizontal="left" vertical="center" indent="1"/>
    </xf>
    <xf numFmtId="0" fontId="44" fillId="0" borderId="14" applyNumberFormat="0" applyBorder="0" applyAlignment="0">
      <alignment horizontal="center" vertical="center"/>
    </xf>
    <xf numFmtId="0" fontId="21" fillId="0" borderId="0" applyNumberFormat="0" applyFill="0" applyBorder="0" applyAlignment="0" applyProtection="0"/>
    <xf numFmtId="183" fontId="56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183" fontId="5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" applyNumberFormat="0" applyFill="0" applyAlignment="0" applyProtection="0"/>
    <xf numFmtId="183" fontId="58" fillId="0" borderId="3" applyNumberFormat="0" applyFill="0" applyAlignment="0" applyProtection="0"/>
    <xf numFmtId="0" fontId="25" fillId="0" borderId="4" applyNumberFormat="0" applyFill="0" applyAlignment="0" applyProtection="0"/>
    <xf numFmtId="183" fontId="59" fillId="0" borderId="4" applyNumberFormat="0" applyFill="0" applyAlignment="0" applyProtection="0"/>
    <xf numFmtId="0" fontId="26" fillId="0" borderId="5" applyNumberFormat="0" applyFill="0" applyAlignment="0" applyProtection="0"/>
    <xf numFmtId="183" fontId="60" fillId="0" borderId="5" applyNumberFormat="0" applyFill="0" applyAlignment="0" applyProtection="0"/>
    <xf numFmtId="0" fontId="26" fillId="0" borderId="0" applyNumberFormat="0" applyFill="0" applyBorder="0" applyAlignment="0" applyProtection="0"/>
    <xf numFmtId="183" fontId="60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3" fontId="23" fillId="0" borderId="0" applyNumberFormat="0" applyFill="0" applyBorder="0" applyAlignment="0" applyProtection="0"/>
    <xf numFmtId="172" fontId="35" fillId="0" borderId="0">
      <protection locked="0"/>
    </xf>
    <xf numFmtId="172" fontId="40" fillId="0" borderId="0">
      <protection locked="0"/>
    </xf>
    <xf numFmtId="172" fontId="35" fillId="0" borderId="0">
      <protection locked="0"/>
    </xf>
    <xf numFmtId="172" fontId="40" fillId="0" borderId="0">
      <protection locked="0"/>
    </xf>
    <xf numFmtId="0" fontId="45" fillId="0" borderId="9" applyBorder="0" applyAlignment="0">
      <alignment horizontal="center" vertical="center"/>
    </xf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27" fillId="0" borderId="15" applyNumberFormat="0" applyFill="0" applyAlignment="0" applyProtection="0"/>
    <xf numFmtId="0" fontId="4" fillId="22" borderId="7" applyNumberFormat="0" applyAlignment="0" applyProtection="0"/>
    <xf numFmtId="164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258">
    <xf numFmtId="0" fontId="0" fillId="0" borderId="0" xfId="0"/>
    <xf numFmtId="0" fontId="2" fillId="2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vertical="center"/>
    </xf>
    <xf numFmtId="168" fontId="3" fillId="0" borderId="0" xfId="0" applyNumberFormat="1" applyFont="1" applyAlignment="1">
      <alignment vertical="center"/>
    </xf>
    <xf numFmtId="164" fontId="3" fillId="0" borderId="0" xfId="642" applyFont="1" applyAlignment="1">
      <alignment vertical="center"/>
    </xf>
    <xf numFmtId="0" fontId="4" fillId="28" borderId="16" xfId="0" applyFont="1" applyFill="1" applyBorder="1" applyAlignment="1">
      <alignment horizontal="center" vertical="center" wrapText="1"/>
    </xf>
    <xf numFmtId="0" fontId="4" fillId="28" borderId="17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74" fillId="0" borderId="0" xfId="0" applyFont="1" applyAlignment="1">
      <alignment vertical="center"/>
    </xf>
    <xf numFmtId="4" fontId="74" fillId="0" borderId="0" xfId="0" applyNumberFormat="1" applyFont="1" applyAlignment="1">
      <alignment vertical="center"/>
    </xf>
    <xf numFmtId="0" fontId="75" fillId="0" borderId="0" xfId="0" applyFont="1" applyAlignment="1">
      <alignment horizontal="center" vertical="center" wrapText="1"/>
    </xf>
    <xf numFmtId="0" fontId="76" fillId="0" borderId="0" xfId="0" applyFont="1" applyAlignment="1">
      <alignment vertical="center"/>
    </xf>
    <xf numFmtId="0" fontId="77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14" fontId="82" fillId="30" borderId="19" xfId="0" applyNumberFormat="1" applyFont="1" applyFill="1" applyBorder="1" applyAlignment="1">
      <alignment horizontal="center" vertical="center" wrapText="1"/>
    </xf>
    <xf numFmtId="184" fontId="80" fillId="0" borderId="19" xfId="0" applyNumberFormat="1" applyFont="1" applyBorder="1" applyAlignment="1">
      <alignment horizontal="center" vertical="center"/>
    </xf>
    <xf numFmtId="169" fontId="70" fillId="0" borderId="19" xfId="0" applyNumberFormat="1" applyFont="1" applyBorder="1" applyAlignment="1">
      <alignment horizontal="center" vertical="center"/>
    </xf>
    <xf numFmtId="184" fontId="85" fillId="0" borderId="19" xfId="0" applyNumberFormat="1" applyFont="1" applyBorder="1" applyAlignment="1">
      <alignment horizontal="center" vertical="center" wrapText="1"/>
    </xf>
    <xf numFmtId="0" fontId="86" fillId="0" borderId="19" xfId="0" applyFont="1" applyBorder="1" applyAlignment="1">
      <alignment horizontal="center" vertical="center" wrapText="1"/>
    </xf>
    <xf numFmtId="14" fontId="86" fillId="0" borderId="19" xfId="0" applyNumberFormat="1" applyFont="1" applyBorder="1" applyAlignment="1">
      <alignment horizontal="center" vertical="center" wrapText="1"/>
    </xf>
    <xf numFmtId="169" fontId="70" fillId="0" borderId="19" xfId="0" applyNumberFormat="1" applyFont="1" applyBorder="1" applyAlignment="1">
      <alignment horizontal="center" vertical="center" wrapText="1"/>
    </xf>
    <xf numFmtId="164" fontId="80" fillId="0" borderId="19" xfId="642" applyFont="1" applyBorder="1" applyAlignment="1">
      <alignment horizontal="center" vertical="center"/>
    </xf>
    <xf numFmtId="14" fontId="81" fillId="0" borderId="20" xfId="0" applyNumberFormat="1" applyFont="1" applyBorder="1" applyAlignment="1">
      <alignment horizontal="center" vertical="center" wrapText="1"/>
    </xf>
    <xf numFmtId="184" fontId="80" fillId="0" borderId="20" xfId="0" applyNumberFormat="1" applyFont="1" applyBorder="1" applyAlignment="1">
      <alignment horizontal="center" vertical="center"/>
    </xf>
    <xf numFmtId="184" fontId="83" fillId="34" borderId="21" xfId="0" applyNumberFormat="1" applyFont="1" applyFill="1" applyBorder="1" applyAlignment="1">
      <alignment horizontal="center" vertical="center"/>
    </xf>
    <xf numFmtId="169" fontId="70" fillId="0" borderId="20" xfId="0" applyNumberFormat="1" applyFont="1" applyBorder="1" applyAlignment="1">
      <alignment horizontal="center" vertical="center"/>
    </xf>
    <xf numFmtId="10" fontId="68" fillId="35" borderId="20" xfId="0" applyNumberFormat="1" applyFont="1" applyFill="1" applyBorder="1" applyAlignment="1">
      <alignment horizontal="center" vertical="center"/>
    </xf>
    <xf numFmtId="14" fontId="82" fillId="30" borderId="50" xfId="0" applyNumberFormat="1" applyFont="1" applyFill="1" applyBorder="1" applyAlignment="1">
      <alignment horizontal="center" vertical="center" wrapText="1"/>
    </xf>
    <xf numFmtId="14" fontId="82" fillId="30" borderId="49" xfId="0" applyNumberFormat="1" applyFont="1" applyFill="1" applyBorder="1" applyAlignment="1">
      <alignment horizontal="center" vertical="center" wrapText="1"/>
    </xf>
    <xf numFmtId="14" fontId="82" fillId="30" borderId="42" xfId="0" applyNumberFormat="1" applyFont="1" applyFill="1" applyBorder="1" applyAlignment="1">
      <alignment horizontal="center" vertical="center" wrapText="1"/>
    </xf>
    <xf numFmtId="169" fontId="91" fillId="0" borderId="19" xfId="0" applyNumberFormat="1" applyFont="1" applyBorder="1" applyAlignment="1">
      <alignment horizontal="center" vertical="center" wrapText="1"/>
    </xf>
    <xf numFmtId="0" fontId="92" fillId="0" borderId="0" xfId="0" applyFont="1" applyAlignment="1">
      <alignment vertical="center"/>
    </xf>
    <xf numFmtId="0" fontId="3" fillId="31" borderId="0" xfId="0" applyFont="1" applyFill="1" applyAlignment="1">
      <alignment vertical="center"/>
    </xf>
    <xf numFmtId="0" fontId="3" fillId="43" borderId="0" xfId="0" applyFont="1" applyFill="1" applyAlignment="1">
      <alignment vertical="center"/>
    </xf>
    <xf numFmtId="1" fontId="80" fillId="0" borderId="20" xfId="0" applyNumberFormat="1" applyFont="1" applyBorder="1" applyAlignment="1">
      <alignment horizontal="center" vertical="center"/>
    </xf>
    <xf numFmtId="43" fontId="99" fillId="39" borderId="48" xfId="649" applyFont="1" applyFill="1" applyBorder="1" applyAlignment="1">
      <alignment horizontal="center" vertical="center" wrapText="1"/>
    </xf>
    <xf numFmtId="43" fontId="99" fillId="39" borderId="46" xfId="649" applyFont="1" applyFill="1" applyBorder="1" applyAlignment="1">
      <alignment horizontal="center" vertical="center" wrapText="1"/>
    </xf>
    <xf numFmtId="43" fontId="99" fillId="39" borderId="47" xfId="649" applyFont="1" applyFill="1" applyBorder="1" applyAlignment="1">
      <alignment horizontal="center" vertical="center" wrapText="1"/>
    </xf>
    <xf numFmtId="17" fontId="104" fillId="37" borderId="54" xfId="0" applyNumberFormat="1" applyFont="1" applyFill="1" applyBorder="1" applyAlignment="1">
      <alignment horizontal="center" vertical="center" wrapText="1"/>
    </xf>
    <xf numFmtId="43" fontId="102" fillId="38" borderId="54" xfId="649" applyFont="1" applyFill="1" applyBorder="1" applyAlignment="1">
      <alignment horizontal="center" vertical="center" wrapText="1"/>
    </xf>
    <xf numFmtId="17" fontId="105" fillId="37" borderId="48" xfId="0" applyNumberFormat="1" applyFont="1" applyFill="1" applyBorder="1" applyAlignment="1">
      <alignment horizontal="center" vertical="center" wrapText="1"/>
    </xf>
    <xf numFmtId="17" fontId="105" fillId="37" borderId="46" xfId="0" applyNumberFormat="1" applyFont="1" applyFill="1" applyBorder="1" applyAlignment="1">
      <alignment horizontal="center" vertical="center" wrapText="1"/>
    </xf>
    <xf numFmtId="17" fontId="105" fillId="37" borderId="55" xfId="0" applyNumberFormat="1" applyFont="1" applyFill="1" applyBorder="1" applyAlignment="1">
      <alignment horizontal="center" vertical="center" wrapText="1"/>
    </xf>
    <xf numFmtId="17" fontId="104" fillId="37" borderId="22" xfId="0" applyNumberFormat="1" applyFont="1" applyFill="1" applyBorder="1" applyAlignment="1">
      <alignment horizontal="center" vertical="center" wrapText="1"/>
    </xf>
    <xf numFmtId="17" fontId="104" fillId="37" borderId="23" xfId="0" applyNumberFormat="1" applyFont="1" applyFill="1" applyBorder="1" applyAlignment="1">
      <alignment horizontal="center" vertical="center" wrapText="1"/>
    </xf>
    <xf numFmtId="17" fontId="104" fillId="37" borderId="24" xfId="0" applyNumberFormat="1" applyFont="1" applyFill="1" applyBorder="1" applyAlignment="1">
      <alignment horizontal="center" vertical="center" wrapText="1"/>
    </xf>
    <xf numFmtId="17" fontId="105" fillId="37" borderId="25" xfId="0" applyNumberFormat="1" applyFont="1" applyFill="1" applyBorder="1" applyAlignment="1">
      <alignment horizontal="center" vertical="center" wrapText="1"/>
    </xf>
    <xf numFmtId="184" fontId="87" fillId="0" borderId="20" xfId="0" applyNumberFormat="1" applyFont="1" applyBorder="1" applyAlignment="1">
      <alignment horizontal="center" vertical="center" wrapText="1"/>
    </xf>
    <xf numFmtId="0" fontId="97" fillId="44" borderId="0" xfId="0" applyFont="1" applyFill="1" applyAlignment="1">
      <alignment vertical="center"/>
    </xf>
    <xf numFmtId="0" fontId="106" fillId="44" borderId="0" xfId="0" applyFont="1" applyFill="1" applyAlignment="1">
      <alignment horizontal="left" vertical="center"/>
    </xf>
    <xf numFmtId="0" fontId="79" fillId="44" borderId="0" xfId="0" applyFont="1" applyFill="1" applyAlignment="1">
      <alignment vertical="center"/>
    </xf>
    <xf numFmtId="184" fontId="79" fillId="44" borderId="0" xfId="0" applyNumberFormat="1" applyFont="1" applyFill="1" applyAlignment="1">
      <alignment vertical="center"/>
    </xf>
    <xf numFmtId="16" fontId="79" fillId="44" borderId="0" xfId="0" applyNumberFormat="1" applyFont="1" applyFill="1" applyAlignment="1">
      <alignment horizontal="center" vertical="center"/>
    </xf>
    <xf numFmtId="49" fontId="90" fillId="44" borderId="0" xfId="0" applyNumberFormat="1" applyFont="1" applyFill="1" applyAlignment="1">
      <alignment vertical="center"/>
    </xf>
    <xf numFmtId="0" fontId="88" fillId="44" borderId="0" xfId="0" applyFont="1" applyFill="1" applyAlignment="1">
      <alignment vertical="center"/>
    </xf>
    <xf numFmtId="4" fontId="88" fillId="44" borderId="0" xfId="0" applyNumberFormat="1" applyFont="1" applyFill="1" applyAlignment="1">
      <alignment vertical="center"/>
    </xf>
    <xf numFmtId="2" fontId="89" fillId="44" borderId="0" xfId="0" applyNumberFormat="1" applyFont="1" applyFill="1" applyAlignment="1">
      <alignment vertical="center"/>
    </xf>
    <xf numFmtId="0" fontId="79" fillId="44" borderId="18" xfId="0" applyFont="1" applyFill="1" applyBorder="1" applyAlignment="1">
      <alignment vertical="center"/>
    </xf>
    <xf numFmtId="0" fontId="93" fillId="44" borderId="0" xfId="0" applyFont="1" applyFill="1" applyAlignment="1">
      <alignment vertical="center"/>
    </xf>
    <xf numFmtId="14" fontId="107" fillId="44" borderId="0" xfId="0" applyNumberFormat="1" applyFont="1" applyFill="1" applyAlignment="1">
      <alignment vertical="center"/>
    </xf>
    <xf numFmtId="0" fontId="107" fillId="44" borderId="0" xfId="0" applyFont="1" applyFill="1" applyAlignment="1">
      <alignment vertical="center"/>
    </xf>
    <xf numFmtId="0" fontId="108" fillId="44" borderId="0" xfId="0" applyFont="1" applyFill="1" applyAlignment="1">
      <alignment vertical="center"/>
    </xf>
    <xf numFmtId="182" fontId="109" fillId="44" borderId="0" xfId="0" applyNumberFormat="1" applyFont="1" applyFill="1" applyAlignment="1">
      <alignment horizontal="center" vertical="center"/>
    </xf>
    <xf numFmtId="0" fontId="2" fillId="45" borderId="0" xfId="0" applyFont="1" applyFill="1" applyAlignment="1">
      <alignment vertical="center"/>
    </xf>
    <xf numFmtId="0" fontId="110" fillId="45" borderId="0" xfId="0" applyFont="1" applyFill="1" applyAlignment="1">
      <alignment vertical="center"/>
    </xf>
    <xf numFmtId="0" fontId="95" fillId="45" borderId="0" xfId="0" applyFont="1" applyFill="1" applyAlignment="1">
      <alignment vertical="center"/>
    </xf>
    <xf numFmtId="0" fontId="96" fillId="45" borderId="0" xfId="0" applyFont="1" applyFill="1" applyAlignment="1">
      <alignment vertical="center"/>
    </xf>
    <xf numFmtId="17" fontId="111" fillId="44" borderId="0" xfId="0" applyNumberFormat="1" applyFont="1" applyFill="1" applyAlignment="1">
      <alignment horizontal="left" vertical="center"/>
    </xf>
    <xf numFmtId="0" fontId="113" fillId="0" borderId="20" xfId="0" applyFont="1" applyBorder="1" applyAlignment="1">
      <alignment horizontal="center" vertical="center"/>
    </xf>
    <xf numFmtId="0" fontId="2" fillId="43" borderId="0" xfId="0" applyFont="1" applyFill="1" applyAlignment="1">
      <alignment vertical="center"/>
    </xf>
    <xf numFmtId="17" fontId="100" fillId="44" borderId="0" xfId="0" applyNumberFormat="1" applyFont="1" applyFill="1" applyAlignment="1">
      <alignment horizontal="left" vertical="center"/>
    </xf>
    <xf numFmtId="0" fontId="95" fillId="43" borderId="0" xfId="0" applyFont="1" applyFill="1" applyAlignment="1">
      <alignment vertical="center"/>
    </xf>
    <xf numFmtId="43" fontId="102" fillId="38" borderId="54" xfId="649" applyFont="1" applyFill="1" applyBorder="1" applyAlignment="1" applyProtection="1">
      <alignment horizontal="center" vertical="center" wrapText="1"/>
    </xf>
    <xf numFmtId="43" fontId="102" fillId="38" borderId="23" xfId="649" applyFont="1" applyFill="1" applyBorder="1" applyAlignment="1" applyProtection="1">
      <alignment horizontal="center" vertical="center" wrapText="1"/>
    </xf>
    <xf numFmtId="0" fontId="96" fillId="43" borderId="0" xfId="0" applyFont="1" applyFill="1" applyAlignment="1">
      <alignment vertical="center"/>
    </xf>
    <xf numFmtId="43" fontId="99" fillId="39" borderId="48" xfId="649" applyFont="1" applyFill="1" applyBorder="1" applyAlignment="1" applyProtection="1">
      <alignment horizontal="center" vertical="center" wrapText="1"/>
    </xf>
    <xf numFmtId="43" fontId="99" fillId="39" borderId="46" xfId="649" applyFont="1" applyFill="1" applyBorder="1" applyAlignment="1" applyProtection="1">
      <alignment horizontal="center" vertical="center" wrapText="1"/>
    </xf>
    <xf numFmtId="43" fontId="99" fillId="39" borderId="47" xfId="649" applyFont="1" applyFill="1" applyBorder="1" applyAlignment="1" applyProtection="1">
      <alignment horizontal="center" vertical="center" wrapText="1"/>
    </xf>
    <xf numFmtId="0" fontId="3" fillId="29" borderId="0" xfId="0" applyFont="1" applyFill="1" applyAlignment="1">
      <alignment vertical="center"/>
    </xf>
    <xf numFmtId="0" fontId="80" fillId="0" borderId="20" xfId="0" applyFont="1" applyBorder="1" applyAlignment="1">
      <alignment horizontal="center" vertical="center"/>
    </xf>
    <xf numFmtId="184" fontId="85" fillId="0" borderId="20" xfId="0" applyNumberFormat="1" applyFont="1" applyBorder="1" applyAlignment="1">
      <alignment horizontal="center" vertical="center" wrapText="1"/>
    </xf>
    <xf numFmtId="0" fontId="86" fillId="0" borderId="20" xfId="0" applyFont="1" applyBorder="1" applyAlignment="1">
      <alignment horizontal="center" vertical="center" wrapText="1"/>
    </xf>
    <xf numFmtId="169" fontId="70" fillId="0" borderId="20" xfId="0" applyNumberFormat="1" applyFont="1" applyBorder="1" applyAlignment="1">
      <alignment horizontal="center" vertical="center" wrapText="1"/>
    </xf>
    <xf numFmtId="14" fontId="86" fillId="0" borderId="20" xfId="0" applyNumberFormat="1" applyFont="1" applyBorder="1" applyAlignment="1">
      <alignment horizontal="center" vertical="center" wrapText="1"/>
    </xf>
    <xf numFmtId="14" fontId="86" fillId="36" borderId="20" xfId="0" applyNumberFormat="1" applyFont="1" applyFill="1" applyBorder="1" applyAlignment="1">
      <alignment horizontal="center" vertical="center" wrapText="1"/>
    </xf>
    <xf numFmtId="14" fontId="82" fillId="30" borderId="51" xfId="0" applyNumberFormat="1" applyFont="1" applyFill="1" applyBorder="1" applyAlignment="1">
      <alignment horizontal="center" vertical="center" wrapText="1"/>
    </xf>
    <xf numFmtId="14" fontId="82" fillId="30" borderId="52" xfId="0" applyNumberFormat="1" applyFont="1" applyFill="1" applyBorder="1" applyAlignment="1">
      <alignment horizontal="center" vertical="center" wrapText="1"/>
    </xf>
    <xf numFmtId="186" fontId="70" fillId="0" borderId="19" xfId="642" applyNumberFormat="1" applyFont="1" applyBorder="1" applyAlignment="1" applyProtection="1">
      <alignment horizontal="center" vertical="center"/>
    </xf>
    <xf numFmtId="164" fontId="80" fillId="0" borderId="19" xfId="642" applyFont="1" applyBorder="1" applyAlignment="1" applyProtection="1">
      <alignment horizontal="center" vertical="center"/>
    </xf>
    <xf numFmtId="186" fontId="70" fillId="0" borderId="20" xfId="0" applyNumberFormat="1" applyFont="1" applyBorder="1" applyAlignment="1">
      <alignment horizontal="center" vertical="center"/>
    </xf>
    <xf numFmtId="186" fontId="70" fillId="0" borderId="19" xfId="0" applyNumberFormat="1" applyFont="1" applyBorder="1" applyAlignment="1">
      <alignment horizontal="center" vertical="center"/>
    </xf>
    <xf numFmtId="4" fontId="77" fillId="0" borderId="0" xfId="0" applyNumberFormat="1" applyFont="1" applyAlignment="1">
      <alignment horizontal="left" vertical="center"/>
    </xf>
    <xf numFmtId="184" fontId="80" fillId="40" borderId="20" xfId="0" applyNumberFormat="1" applyFont="1" applyFill="1" applyBorder="1" applyAlignment="1">
      <alignment horizontal="center" vertical="center"/>
    </xf>
    <xf numFmtId="164" fontId="80" fillId="40" borderId="20" xfId="642" applyFont="1" applyFill="1" applyBorder="1" applyAlignment="1" applyProtection="1">
      <alignment horizontal="center" vertical="center"/>
    </xf>
    <xf numFmtId="14" fontId="86" fillId="36" borderId="19" xfId="0" applyNumberFormat="1" applyFont="1" applyFill="1" applyBorder="1" applyAlignment="1">
      <alignment horizontal="center" vertical="center" wrapText="1"/>
    </xf>
    <xf numFmtId="184" fontId="80" fillId="41" borderId="19" xfId="0" applyNumberFormat="1" applyFont="1" applyFill="1" applyBorder="1" applyAlignment="1">
      <alignment horizontal="center" vertical="center"/>
    </xf>
    <xf numFmtId="184" fontId="80" fillId="40" borderId="19" xfId="0" applyNumberFormat="1" applyFont="1" applyFill="1" applyBorder="1" applyAlignment="1">
      <alignment horizontal="center" vertical="center"/>
    </xf>
    <xf numFmtId="164" fontId="80" fillId="41" borderId="19" xfId="642" applyFont="1" applyFill="1" applyBorder="1" applyAlignment="1" applyProtection="1">
      <alignment horizontal="center" vertical="center"/>
    </xf>
    <xf numFmtId="43" fontId="80" fillId="41" borderId="19" xfId="649" applyFont="1" applyFill="1" applyBorder="1" applyAlignment="1" applyProtection="1">
      <alignment horizontal="center" vertical="center"/>
    </xf>
    <xf numFmtId="184" fontId="87" fillId="31" borderId="19" xfId="0" applyNumberFormat="1" applyFont="1" applyFill="1" applyBorder="1" applyAlignment="1">
      <alignment horizontal="center" vertical="center" wrapText="1"/>
    </xf>
    <xf numFmtId="0" fontId="86" fillId="31" borderId="19" xfId="0" applyFont="1" applyFill="1" applyBorder="1" applyAlignment="1">
      <alignment horizontal="center" vertical="center" wrapText="1"/>
    </xf>
    <xf numFmtId="184" fontId="85" fillId="31" borderId="19" xfId="0" applyNumberFormat="1" applyFont="1" applyFill="1" applyBorder="1" applyAlignment="1">
      <alignment horizontal="center" vertical="center" wrapText="1"/>
    </xf>
    <xf numFmtId="169" fontId="70" fillId="31" borderId="19" xfId="0" applyNumberFormat="1" applyFont="1" applyFill="1" applyBorder="1" applyAlignment="1">
      <alignment horizontal="center" vertical="center" wrapText="1"/>
    </xf>
    <xf numFmtId="14" fontId="82" fillId="30" borderId="53" xfId="0" applyNumberFormat="1" applyFont="1" applyFill="1" applyBorder="1" applyAlignment="1">
      <alignment horizontal="center" vertical="center" wrapText="1"/>
    </xf>
    <xf numFmtId="14" fontId="86" fillId="31" borderId="19" xfId="0" applyNumberFormat="1" applyFont="1" applyFill="1" applyBorder="1" applyAlignment="1">
      <alignment horizontal="center" vertical="center" wrapText="1"/>
    </xf>
    <xf numFmtId="184" fontId="80" fillId="31" borderId="19" xfId="0" applyNumberFormat="1" applyFont="1" applyFill="1" applyBorder="1" applyAlignment="1">
      <alignment horizontal="center" vertical="center"/>
    </xf>
    <xf numFmtId="184" fontId="80" fillId="31" borderId="20" xfId="0" applyNumberFormat="1" applyFont="1" applyFill="1" applyBorder="1" applyAlignment="1">
      <alignment horizontal="center" vertical="center"/>
    </xf>
    <xf numFmtId="1" fontId="80" fillId="31" borderId="20" xfId="0" applyNumberFormat="1" applyFont="1" applyFill="1" applyBorder="1" applyAlignment="1">
      <alignment horizontal="center" vertical="center"/>
    </xf>
    <xf numFmtId="14" fontId="81" fillId="31" borderId="20" xfId="0" applyNumberFormat="1" applyFont="1" applyFill="1" applyBorder="1" applyAlignment="1">
      <alignment horizontal="center" vertical="center" wrapText="1"/>
    </xf>
    <xf numFmtId="169" fontId="66" fillId="31" borderId="19" xfId="0" applyNumberFormat="1" applyFont="1" applyFill="1" applyBorder="1" applyAlignment="1">
      <alignment horizontal="center" vertical="center"/>
    </xf>
    <xf numFmtId="184" fontId="87" fillId="32" borderId="19" xfId="0" applyNumberFormat="1" applyFont="1" applyFill="1" applyBorder="1" applyAlignment="1">
      <alignment horizontal="center" vertical="center" wrapText="1"/>
    </xf>
    <xf numFmtId="0" fontId="86" fillId="32" borderId="19" xfId="0" applyFont="1" applyFill="1" applyBorder="1" applyAlignment="1">
      <alignment horizontal="center" vertical="center" wrapText="1"/>
    </xf>
    <xf numFmtId="184" fontId="85" fillId="32" borderId="19" xfId="0" applyNumberFormat="1" applyFont="1" applyFill="1" applyBorder="1" applyAlignment="1">
      <alignment horizontal="center" vertical="center" wrapText="1"/>
    </xf>
    <xf numFmtId="169" fontId="70" fillId="32" borderId="19" xfId="0" applyNumberFormat="1" applyFont="1" applyFill="1" applyBorder="1" applyAlignment="1">
      <alignment horizontal="center" vertical="center" wrapText="1"/>
    </xf>
    <xf numFmtId="14" fontId="82" fillId="42" borderId="19" xfId="0" applyNumberFormat="1" applyFont="1" applyFill="1" applyBorder="1" applyAlignment="1">
      <alignment horizontal="center" vertical="center" wrapText="1"/>
    </xf>
    <xf numFmtId="14" fontId="82" fillId="42" borderId="49" xfId="0" applyNumberFormat="1" applyFont="1" applyFill="1" applyBorder="1" applyAlignment="1">
      <alignment horizontal="center" vertical="center" wrapText="1"/>
    </xf>
    <xf numFmtId="14" fontId="82" fillId="42" borderId="50" xfId="0" applyNumberFormat="1" applyFont="1" applyFill="1" applyBorder="1" applyAlignment="1">
      <alignment horizontal="center" vertical="center" wrapText="1"/>
    </xf>
    <xf numFmtId="14" fontId="86" fillId="32" borderId="19" xfId="0" applyNumberFormat="1" applyFont="1" applyFill="1" applyBorder="1" applyAlignment="1">
      <alignment horizontal="center" vertical="center" wrapText="1"/>
    </xf>
    <xf numFmtId="184" fontId="80" fillId="32" borderId="19" xfId="0" applyNumberFormat="1" applyFont="1" applyFill="1" applyBorder="1" applyAlignment="1">
      <alignment horizontal="center" vertical="center"/>
    </xf>
    <xf numFmtId="184" fontId="80" fillId="32" borderId="20" xfId="0" applyNumberFormat="1" applyFont="1" applyFill="1" applyBorder="1" applyAlignment="1">
      <alignment horizontal="center" vertical="center"/>
    </xf>
    <xf numFmtId="1" fontId="80" fillId="32" borderId="20" xfId="0" applyNumberFormat="1" applyFont="1" applyFill="1" applyBorder="1" applyAlignment="1">
      <alignment horizontal="center" vertical="center"/>
    </xf>
    <xf numFmtId="14" fontId="81" fillId="32" borderId="20" xfId="0" applyNumberFormat="1" applyFont="1" applyFill="1" applyBorder="1" applyAlignment="1">
      <alignment horizontal="center" vertical="center" wrapText="1"/>
    </xf>
    <xf numFmtId="0" fontId="67" fillId="33" borderId="19" xfId="0" applyFont="1" applyFill="1" applyBorder="1" applyAlignment="1">
      <alignment horizontal="center" vertical="center" wrapText="1"/>
    </xf>
    <xf numFmtId="169" fontId="70" fillId="32" borderId="19" xfId="0" applyNumberFormat="1" applyFont="1" applyFill="1" applyBorder="1" applyAlignment="1">
      <alignment horizontal="center" vertical="center"/>
    </xf>
    <xf numFmtId="164" fontId="80" fillId="32" borderId="19" xfId="642" applyFont="1" applyFill="1" applyBorder="1" applyAlignment="1" applyProtection="1">
      <alignment horizontal="center" vertical="center"/>
    </xf>
    <xf numFmtId="169" fontId="70" fillId="32" borderId="20" xfId="0" applyNumberFormat="1" applyFont="1" applyFill="1" applyBorder="1" applyAlignment="1">
      <alignment horizontal="center" vertical="center"/>
    </xf>
    <xf numFmtId="10" fontId="68" fillId="32" borderId="19" xfId="0" applyNumberFormat="1" applyFont="1" applyFill="1" applyBorder="1" applyAlignment="1">
      <alignment horizontal="center" vertical="center"/>
    </xf>
    <xf numFmtId="49" fontId="77" fillId="0" borderId="0" xfId="0" applyNumberFormat="1" applyFont="1" applyAlignment="1">
      <alignment horizontal="left" vertical="center"/>
    </xf>
    <xf numFmtId="14" fontId="66" fillId="0" borderId="19" xfId="0" applyNumberFormat="1" applyFont="1" applyBorder="1" applyAlignment="1">
      <alignment horizontal="center" vertical="center"/>
    </xf>
    <xf numFmtId="14" fontId="81" fillId="0" borderId="19" xfId="0" applyNumberFormat="1" applyFont="1" applyBorder="1" applyAlignment="1">
      <alignment horizontal="center" vertical="center" wrapText="1"/>
    </xf>
    <xf numFmtId="49" fontId="76" fillId="0" borderId="0" xfId="0" applyNumberFormat="1" applyFont="1" applyAlignment="1">
      <alignment vertical="center"/>
    </xf>
    <xf numFmtId="14" fontId="76" fillId="0" borderId="0" xfId="0" applyNumberFormat="1" applyFont="1" applyAlignment="1">
      <alignment vertical="center"/>
    </xf>
    <xf numFmtId="164" fontId="80" fillId="0" borderId="20" xfId="642" applyFont="1" applyBorder="1" applyAlignment="1" applyProtection="1">
      <alignment horizontal="center" vertical="center"/>
    </xf>
    <xf numFmtId="2" fontId="72" fillId="0" borderId="0" xfId="0" applyNumberFormat="1" applyFont="1" applyAlignment="1">
      <alignment horizontal="center" vertical="center"/>
    </xf>
    <xf numFmtId="2" fontId="72" fillId="0" borderId="0" xfId="0" applyNumberFormat="1" applyFont="1" applyAlignment="1">
      <alignment horizontal="left" vertical="center"/>
    </xf>
    <xf numFmtId="0" fontId="80" fillId="32" borderId="20" xfId="0" applyFont="1" applyFill="1" applyBorder="1" applyAlignment="1">
      <alignment horizontal="center" vertical="center"/>
    </xf>
    <xf numFmtId="169" fontId="91" fillId="32" borderId="19" xfId="0" applyNumberFormat="1" applyFont="1" applyFill="1" applyBorder="1" applyAlignment="1">
      <alignment horizontal="center" vertical="center" wrapText="1"/>
    </xf>
    <xf numFmtId="186" fontId="70" fillId="32" borderId="19" xfId="642" applyNumberFormat="1" applyFont="1" applyFill="1" applyBorder="1" applyAlignment="1" applyProtection="1">
      <alignment horizontal="center" vertical="center"/>
    </xf>
    <xf numFmtId="186" fontId="70" fillId="32" borderId="20" xfId="0" applyNumberFormat="1" applyFont="1" applyFill="1" applyBorder="1" applyAlignment="1">
      <alignment horizontal="center" vertical="center"/>
    </xf>
    <xf numFmtId="2" fontId="77" fillId="0" borderId="0" xfId="0" applyNumberFormat="1" applyFont="1" applyAlignment="1">
      <alignment horizontal="center" vertical="center"/>
    </xf>
    <xf numFmtId="14" fontId="81" fillId="32" borderId="19" xfId="0" applyNumberFormat="1" applyFont="1" applyFill="1" applyBorder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left" vertical="center"/>
    </xf>
    <xf numFmtId="164" fontId="3" fillId="43" borderId="0" xfId="642" applyFont="1" applyFill="1" applyAlignment="1" applyProtection="1">
      <alignment vertical="center"/>
    </xf>
    <xf numFmtId="164" fontId="68" fillId="0" borderId="19" xfId="642" applyFont="1" applyFill="1" applyBorder="1" applyAlignment="1" applyProtection="1">
      <alignment vertical="center"/>
    </xf>
    <xf numFmtId="164" fontId="68" fillId="0" borderId="19" xfId="642" applyFont="1" applyFill="1" applyBorder="1" applyAlignment="1" applyProtection="1">
      <alignment horizontal="center" vertical="center"/>
    </xf>
    <xf numFmtId="10" fontId="68" fillId="0" borderId="19" xfId="0" applyNumberFormat="1" applyFont="1" applyBorder="1" applyAlignment="1">
      <alignment horizontal="center" vertical="center"/>
    </xf>
    <xf numFmtId="164" fontId="3" fillId="0" borderId="0" xfId="642" applyFont="1" applyFill="1" applyBorder="1" applyAlignment="1" applyProtection="1">
      <alignment vertical="center"/>
    </xf>
    <xf numFmtId="164" fontId="3" fillId="0" borderId="0" xfId="642" applyFont="1" applyAlignment="1" applyProtection="1">
      <alignment vertical="center"/>
    </xf>
    <xf numFmtId="0" fontId="0" fillId="28" borderId="0" xfId="0" applyFill="1"/>
    <xf numFmtId="0" fontId="79" fillId="29" borderId="0" xfId="0" applyFont="1" applyFill="1" applyAlignment="1">
      <alignment vertical="center"/>
    </xf>
    <xf numFmtId="0" fontId="62" fillId="0" borderId="0" xfId="0" applyFont="1" applyAlignment="1">
      <alignment horizontal="center" vertical="center" wrapText="1"/>
    </xf>
    <xf numFmtId="4" fontId="0" fillId="0" borderId="0" xfId="0" applyNumberFormat="1"/>
    <xf numFmtId="14" fontId="0" fillId="0" borderId="0" xfId="0" applyNumberFormat="1"/>
    <xf numFmtId="4" fontId="73" fillId="0" borderId="0" xfId="0" applyNumberFormat="1" applyFont="1"/>
    <xf numFmtId="167" fontId="71" fillId="0" borderId="0" xfId="170" applyFont="1" applyProtection="1"/>
    <xf numFmtId="43" fontId="0" fillId="0" borderId="0" xfId="0" applyNumberFormat="1"/>
    <xf numFmtId="0" fontId="0" fillId="0" borderId="56" xfId="0" applyBorder="1"/>
    <xf numFmtId="0" fontId="0" fillId="0" borderId="0" xfId="0" applyAlignment="1">
      <alignment vertical="center"/>
    </xf>
    <xf numFmtId="185" fontId="84" fillId="44" borderId="0" xfId="0" applyNumberFormat="1" applyFont="1" applyFill="1" applyAlignment="1" applyProtection="1">
      <alignment horizontal="center" vertical="center"/>
      <protection locked="0"/>
    </xf>
    <xf numFmtId="0" fontId="79" fillId="44" borderId="0" xfId="0" applyFont="1" applyFill="1" applyAlignment="1" applyProtection="1">
      <alignment vertical="center"/>
      <protection locked="0"/>
    </xf>
    <xf numFmtId="184" fontId="85" fillId="0" borderId="20" xfId="0" applyNumberFormat="1" applyFont="1" applyBorder="1" applyAlignment="1" applyProtection="1">
      <alignment horizontal="left" vertical="center" wrapText="1"/>
      <protection locked="0"/>
    </xf>
    <xf numFmtId="184" fontId="85" fillId="0" borderId="19" xfId="0" applyNumberFormat="1" applyFont="1" applyBorder="1" applyAlignment="1" applyProtection="1">
      <alignment horizontal="left" vertical="center" wrapText="1"/>
      <protection locked="0"/>
    </xf>
    <xf numFmtId="184" fontId="85" fillId="0" borderId="19" xfId="0" quotePrefix="1" applyNumberFormat="1" applyFont="1" applyBorder="1" applyAlignment="1" applyProtection="1">
      <alignment horizontal="left" vertical="center" wrapText="1"/>
      <protection locked="0"/>
    </xf>
    <xf numFmtId="184" fontId="85" fillId="31" borderId="19" xfId="0" applyNumberFormat="1" applyFont="1" applyFill="1" applyBorder="1" applyAlignment="1" applyProtection="1">
      <alignment horizontal="left" vertical="center" wrapText="1"/>
      <protection locked="0"/>
    </xf>
    <xf numFmtId="184" fontId="87" fillId="31" borderId="19" xfId="0" applyNumberFormat="1" applyFont="1" applyFill="1" applyBorder="1" applyAlignment="1" applyProtection="1">
      <alignment horizontal="left" vertical="center" wrapText="1"/>
      <protection locked="0"/>
    </xf>
    <xf numFmtId="184" fontId="85" fillId="32" borderId="19" xfId="0" applyNumberFormat="1" applyFont="1" applyFill="1" applyBorder="1" applyAlignment="1" applyProtection="1">
      <alignment horizontal="left" vertical="center" wrapText="1"/>
      <protection locked="0"/>
    </xf>
    <xf numFmtId="184" fontId="85" fillId="40" borderId="19" xfId="0" applyNumberFormat="1" applyFont="1" applyFill="1" applyBorder="1" applyAlignment="1" applyProtection="1">
      <alignment horizontal="left" vertical="center" wrapText="1"/>
      <protection locked="0"/>
    </xf>
    <xf numFmtId="164" fontId="68" fillId="0" borderId="19" xfId="642" applyFont="1" applyFill="1" applyBorder="1" applyAlignment="1" applyProtection="1">
      <alignment horizontal="center" vertical="center"/>
      <protection locked="0"/>
    </xf>
    <xf numFmtId="0" fontId="0" fillId="28" borderId="0" xfId="0" applyFill="1" applyProtection="1">
      <protection locked="0"/>
    </xf>
    <xf numFmtId="0" fontId="0" fillId="0" borderId="0" xfId="0" applyProtection="1">
      <protection locked="0"/>
    </xf>
    <xf numFmtId="4" fontId="3" fillId="0" borderId="0" xfId="0" applyNumberFormat="1" applyFont="1" applyAlignment="1" applyProtection="1">
      <alignment vertical="center"/>
      <protection locked="0"/>
    </xf>
    <xf numFmtId="17" fontId="101" fillId="37" borderId="26" xfId="0" applyNumberFormat="1" applyFont="1" applyFill="1" applyBorder="1" applyAlignment="1" applyProtection="1">
      <alignment horizontal="center" vertical="center" wrapText="1"/>
      <protection locked="0"/>
    </xf>
    <xf numFmtId="17" fontId="101" fillId="37" borderId="27" xfId="0" applyNumberFormat="1" applyFont="1" applyFill="1" applyBorder="1" applyAlignment="1" applyProtection="1">
      <alignment horizontal="center" vertical="center" wrapText="1"/>
      <protection locked="0"/>
    </xf>
    <xf numFmtId="43" fontId="102" fillId="38" borderId="27" xfId="649" applyFont="1" applyFill="1" applyBorder="1" applyAlignment="1" applyProtection="1">
      <alignment horizontal="center" vertical="center" wrapText="1"/>
      <protection locked="0"/>
    </xf>
    <xf numFmtId="17" fontId="101" fillId="37" borderId="28" xfId="0" applyNumberFormat="1" applyFont="1" applyFill="1" applyBorder="1" applyAlignment="1" applyProtection="1">
      <alignment horizontal="center" vertical="center" wrapText="1"/>
      <protection locked="0"/>
    </xf>
    <xf numFmtId="17" fontId="103" fillId="37" borderId="29" xfId="0" applyNumberFormat="1" applyFont="1" applyFill="1" applyBorder="1" applyAlignment="1" applyProtection="1">
      <alignment horizontal="center" vertical="center" wrapText="1"/>
      <protection locked="0"/>
    </xf>
    <xf numFmtId="186" fontId="70" fillId="0" borderId="19" xfId="0" applyNumberFormat="1" applyFont="1" applyBorder="1" applyAlignment="1" applyProtection="1">
      <alignment horizontal="center" vertical="center"/>
      <protection locked="0"/>
    </xf>
    <xf numFmtId="169" fontId="70" fillId="0" borderId="19" xfId="0" applyNumberFormat="1" applyFont="1" applyBorder="1" applyAlignment="1" applyProtection="1">
      <alignment horizontal="center" vertical="center"/>
      <protection locked="0"/>
    </xf>
    <xf numFmtId="169" fontId="70" fillId="40" borderId="19" xfId="0" applyNumberFormat="1" applyFont="1" applyFill="1" applyBorder="1" applyAlignment="1" applyProtection="1">
      <alignment horizontal="center" vertical="center"/>
      <protection locked="0"/>
    </xf>
    <xf numFmtId="169" fontId="70" fillId="32" borderId="19" xfId="0" applyNumberFormat="1" applyFont="1" applyFill="1" applyBorder="1" applyAlignment="1" applyProtection="1">
      <alignment horizontal="center" vertical="center"/>
      <protection locked="0"/>
    </xf>
    <xf numFmtId="169" fontId="70" fillId="0" borderId="20" xfId="0" applyNumberFormat="1" applyFont="1" applyBorder="1" applyAlignment="1" applyProtection="1">
      <alignment horizontal="center" vertical="center"/>
      <protection locked="0"/>
    </xf>
    <xf numFmtId="186" fontId="70" fillId="32" borderId="19" xfId="0" applyNumberFormat="1" applyFont="1" applyFill="1" applyBorder="1" applyAlignment="1" applyProtection="1">
      <alignment horizontal="center" vertical="center"/>
      <protection locked="0"/>
    </xf>
    <xf numFmtId="168" fontId="3" fillId="0" borderId="0" xfId="0" applyNumberFormat="1" applyFont="1" applyAlignment="1" applyProtection="1">
      <alignment vertical="center"/>
      <protection locked="0"/>
    </xf>
    <xf numFmtId="184" fontId="108" fillId="44" borderId="0" xfId="0" applyNumberFormat="1" applyFont="1" applyFill="1" applyAlignment="1">
      <alignment vertical="center"/>
    </xf>
    <xf numFmtId="16" fontId="108" fillId="44" borderId="0" xfId="0" applyNumberFormat="1" applyFont="1" applyFill="1" applyAlignment="1">
      <alignment horizontal="center" vertical="center"/>
    </xf>
    <xf numFmtId="2" fontId="108" fillId="44" borderId="0" xfId="0" applyNumberFormat="1" applyFont="1" applyFill="1" applyAlignment="1">
      <alignment vertical="center"/>
    </xf>
    <xf numFmtId="49" fontId="108" fillId="44" borderId="0" xfId="0" applyNumberFormat="1" applyFont="1" applyFill="1" applyAlignment="1">
      <alignment vertical="center"/>
    </xf>
    <xf numFmtId="187" fontId="70" fillId="0" borderId="19" xfId="642" applyNumberFormat="1" applyFont="1" applyBorder="1" applyAlignment="1" applyProtection="1">
      <alignment horizontal="center" vertical="center"/>
    </xf>
    <xf numFmtId="187" fontId="70" fillId="0" borderId="20" xfId="0" applyNumberFormat="1" applyFont="1" applyBorder="1" applyAlignment="1">
      <alignment horizontal="center" vertical="center"/>
    </xf>
    <xf numFmtId="187" fontId="70" fillId="0" borderId="19" xfId="0" applyNumberFormat="1" applyFont="1" applyBorder="1" applyAlignment="1">
      <alignment horizontal="center" vertical="center"/>
    </xf>
    <xf numFmtId="187" fontId="70" fillId="0" borderId="19" xfId="0" applyNumberFormat="1" applyFont="1" applyBorder="1" applyAlignment="1" applyProtection="1">
      <alignment horizontal="center" vertical="center"/>
      <protection locked="0"/>
    </xf>
    <xf numFmtId="169" fontId="114" fillId="0" borderId="0" xfId="0" applyNumberFormat="1" applyFont="1" applyAlignment="1">
      <alignment vertical="center"/>
    </xf>
    <xf numFmtId="43" fontId="80" fillId="40" borderId="19" xfId="649" applyFont="1" applyFill="1" applyBorder="1" applyAlignment="1" applyProtection="1">
      <alignment horizontal="center" vertical="center"/>
    </xf>
    <xf numFmtId="49" fontId="115" fillId="0" borderId="0" xfId="0" applyNumberFormat="1" applyFont="1" applyAlignment="1">
      <alignment horizontal="center" vertical="center"/>
    </xf>
    <xf numFmtId="4" fontId="116" fillId="0" borderId="0" xfId="0" applyNumberFormat="1" applyFont="1" applyAlignment="1">
      <alignment horizontal="left" vertical="center"/>
    </xf>
    <xf numFmtId="4" fontId="119" fillId="0" borderId="0" xfId="0" applyNumberFormat="1" applyFont="1"/>
    <xf numFmtId="164" fontId="80" fillId="41" borderId="19" xfId="642" applyFont="1" applyFill="1" applyBorder="1" applyAlignment="1">
      <alignment horizontal="center" vertical="center"/>
    </xf>
    <xf numFmtId="17" fontId="104" fillId="37" borderId="57" xfId="0" applyNumberFormat="1" applyFont="1" applyFill="1" applyBorder="1" applyAlignment="1">
      <alignment horizontal="center" vertical="center" wrapText="1"/>
    </xf>
    <xf numFmtId="17" fontId="104" fillId="37" borderId="58" xfId="0" applyNumberFormat="1" applyFont="1" applyFill="1" applyBorder="1" applyAlignment="1">
      <alignment horizontal="center" vertical="center" wrapText="1"/>
    </xf>
    <xf numFmtId="43" fontId="102" fillId="38" borderId="58" xfId="649" applyFont="1" applyFill="1" applyBorder="1" applyAlignment="1">
      <alignment horizontal="center" vertical="center" wrapText="1"/>
    </xf>
    <xf numFmtId="17" fontId="104" fillId="37" borderId="59" xfId="0" applyNumberFormat="1" applyFont="1" applyFill="1" applyBorder="1" applyAlignment="1">
      <alignment horizontal="center" vertical="center" wrapText="1"/>
    </xf>
    <xf numFmtId="14" fontId="86" fillId="43" borderId="19" xfId="0" applyNumberFormat="1" applyFont="1" applyFill="1" applyBorder="1" applyAlignment="1">
      <alignment horizontal="center" vertical="center" wrapText="1"/>
    </xf>
    <xf numFmtId="4" fontId="0" fillId="0" borderId="0" xfId="0" applyNumberFormat="1" applyProtection="1">
      <protection locked="0"/>
    </xf>
    <xf numFmtId="0" fontId="96" fillId="41" borderId="0" xfId="0" applyFont="1" applyFill="1" applyAlignment="1">
      <alignment vertical="center"/>
    </xf>
    <xf numFmtId="10" fontId="68" fillId="0" borderId="20" xfId="0" applyNumberFormat="1" applyFont="1" applyBorder="1" applyAlignment="1">
      <alignment horizontal="center" vertical="center"/>
    </xf>
    <xf numFmtId="169" fontId="66" fillId="32" borderId="19" xfId="0" applyNumberFormat="1" applyFont="1" applyFill="1" applyBorder="1" applyAlignment="1">
      <alignment horizontal="center" vertical="center"/>
    </xf>
    <xf numFmtId="43" fontId="98" fillId="39" borderId="32" xfId="649" applyFont="1" applyFill="1" applyBorder="1" applyAlignment="1" applyProtection="1">
      <alignment horizontal="center" vertical="center" wrapText="1"/>
    </xf>
    <xf numFmtId="43" fontId="98" fillId="39" borderId="33" xfId="649" applyFont="1" applyFill="1" applyBorder="1" applyAlignment="1" applyProtection="1">
      <alignment horizontal="center" vertical="center" wrapText="1"/>
    </xf>
    <xf numFmtId="43" fontId="98" fillId="39" borderId="44" xfId="649" applyFont="1" applyFill="1" applyBorder="1" applyAlignment="1" applyProtection="1">
      <alignment horizontal="center" vertical="center" wrapText="1"/>
    </xf>
    <xf numFmtId="43" fontId="98" fillId="39" borderId="46" xfId="649" applyFont="1" applyFill="1" applyBorder="1" applyAlignment="1" applyProtection="1">
      <alignment horizontal="center" vertical="center" wrapText="1"/>
    </xf>
    <xf numFmtId="43" fontId="98" fillId="39" borderId="24" xfId="649" applyFont="1" applyFill="1" applyBorder="1" applyAlignment="1" applyProtection="1">
      <alignment horizontal="center" vertical="center" wrapText="1"/>
    </xf>
    <xf numFmtId="43" fontId="98" fillId="39" borderId="45" xfId="649" applyFont="1" applyFill="1" applyBorder="1" applyAlignment="1" applyProtection="1">
      <alignment horizontal="center" vertical="center" wrapText="1"/>
    </xf>
    <xf numFmtId="43" fontId="98" fillId="39" borderId="40" xfId="649" applyFont="1" applyFill="1" applyBorder="1" applyAlignment="1" applyProtection="1">
      <alignment horizontal="center" vertical="center" wrapText="1"/>
    </xf>
    <xf numFmtId="43" fontId="98" fillId="39" borderId="41" xfId="649" applyFont="1" applyFill="1" applyBorder="1" applyAlignment="1" applyProtection="1">
      <alignment horizontal="center" vertical="center" wrapText="1"/>
    </xf>
    <xf numFmtId="43" fontId="98" fillId="39" borderId="34" xfId="649" applyFont="1" applyFill="1" applyBorder="1" applyAlignment="1" applyProtection="1">
      <alignment horizontal="center" vertical="center" wrapText="1"/>
    </xf>
    <xf numFmtId="43" fontId="98" fillId="39" borderId="29" xfId="649" applyFont="1" applyFill="1" applyBorder="1" applyAlignment="1" applyProtection="1">
      <alignment horizontal="center" vertical="center" wrapText="1"/>
    </xf>
    <xf numFmtId="43" fontId="94" fillId="39" borderId="43" xfId="649" applyFont="1" applyFill="1" applyBorder="1" applyAlignment="1" applyProtection="1">
      <alignment horizontal="center" vertical="center" wrapText="1"/>
    </xf>
    <xf numFmtId="43" fontId="94" fillId="39" borderId="39" xfId="649" applyFont="1" applyFill="1" applyBorder="1" applyAlignment="1" applyProtection="1">
      <alignment horizontal="center" vertical="center" wrapText="1"/>
    </xf>
    <xf numFmtId="43" fontId="98" fillId="39" borderId="47" xfId="649" applyFont="1" applyFill="1" applyBorder="1" applyAlignment="1" applyProtection="1">
      <alignment horizontal="center" vertical="center" wrapText="1"/>
    </xf>
    <xf numFmtId="43" fontId="98" fillId="39" borderId="35" xfId="649" applyFont="1" applyFill="1" applyBorder="1" applyAlignment="1" applyProtection="1">
      <alignment horizontal="center" vertical="center" wrapText="1"/>
    </xf>
    <xf numFmtId="43" fontId="98" fillId="39" borderId="36" xfId="649" applyFont="1" applyFill="1" applyBorder="1" applyAlignment="1" applyProtection="1">
      <alignment horizontal="center" vertical="center" wrapText="1"/>
    </xf>
    <xf numFmtId="43" fontId="98" fillId="39" borderId="37" xfId="649" applyFont="1" applyFill="1" applyBorder="1" applyAlignment="1" applyProtection="1">
      <alignment horizontal="center" vertical="center" wrapText="1"/>
    </xf>
    <xf numFmtId="43" fontId="98" fillId="39" borderId="43" xfId="649" applyFont="1" applyFill="1" applyBorder="1" applyAlignment="1" applyProtection="1">
      <alignment horizontal="center" vertical="center" wrapText="1"/>
    </xf>
    <xf numFmtId="43" fontId="98" fillId="39" borderId="39" xfId="649" applyFont="1" applyFill="1" applyBorder="1" applyAlignment="1" applyProtection="1">
      <alignment horizontal="center" vertical="center" wrapText="1"/>
    </xf>
    <xf numFmtId="43" fontId="98" fillId="39" borderId="38" xfId="649" applyFont="1" applyFill="1" applyBorder="1" applyAlignment="1" applyProtection="1">
      <alignment horizontal="center" vertical="center" wrapText="1"/>
    </xf>
    <xf numFmtId="43" fontId="98" fillId="39" borderId="45" xfId="649" applyFont="1" applyFill="1" applyBorder="1" applyAlignment="1" applyProtection="1">
      <alignment horizontal="center" vertical="center" wrapText="1"/>
      <protection locked="0"/>
    </xf>
    <xf numFmtId="43" fontId="98" fillId="39" borderId="47" xfId="649" applyFont="1" applyFill="1" applyBorder="1" applyAlignment="1" applyProtection="1">
      <alignment horizontal="center" vertical="center" wrapText="1"/>
      <protection locked="0"/>
    </xf>
    <xf numFmtId="43" fontId="98" fillId="39" borderId="30" xfId="649" applyFont="1" applyFill="1" applyBorder="1" applyAlignment="1" applyProtection="1">
      <alignment horizontal="center" vertical="center" wrapText="1"/>
    </xf>
    <xf numFmtId="43" fontId="98" fillId="39" borderId="31" xfId="649" applyFont="1" applyFill="1" applyBorder="1" applyAlignment="1" applyProtection="1">
      <alignment horizontal="center" vertical="center" wrapText="1"/>
    </xf>
    <xf numFmtId="43" fontId="98" fillId="38" borderId="40" xfId="649" applyFont="1" applyFill="1" applyBorder="1" applyAlignment="1" applyProtection="1">
      <alignment horizontal="center" vertical="center" wrapText="1"/>
    </xf>
    <xf numFmtId="43" fontId="98" fillId="38" borderId="29" xfId="649" applyFont="1" applyFill="1" applyBorder="1" applyAlignment="1" applyProtection="1">
      <alignment horizontal="center" vertical="center" wrapText="1"/>
    </xf>
    <xf numFmtId="43" fontId="98" fillId="39" borderId="44" xfId="649" applyFont="1" applyFill="1" applyBorder="1" applyAlignment="1">
      <alignment horizontal="center" vertical="center" wrapText="1"/>
    </xf>
    <xf numFmtId="43" fontId="112" fillId="29" borderId="43" xfId="649" applyFont="1" applyFill="1" applyBorder="1" applyAlignment="1">
      <alignment horizontal="center" vertical="center" wrapText="1"/>
    </xf>
    <xf numFmtId="43" fontId="112" fillId="29" borderId="39" xfId="649" applyFont="1" applyFill="1" applyBorder="1" applyAlignment="1">
      <alignment horizontal="center" vertical="center" wrapText="1"/>
    </xf>
    <xf numFmtId="43" fontId="98" fillId="39" borderId="46" xfId="649" applyFont="1" applyFill="1" applyBorder="1" applyAlignment="1">
      <alignment horizontal="center" vertical="center" wrapText="1"/>
    </xf>
    <xf numFmtId="43" fontId="98" fillId="39" borderId="45" xfId="649" applyFont="1" applyFill="1" applyBorder="1" applyAlignment="1">
      <alignment horizontal="center" vertical="center" wrapText="1"/>
    </xf>
    <xf numFmtId="43" fontId="98" fillId="39" borderId="47" xfId="649" applyFont="1" applyFill="1" applyBorder="1" applyAlignment="1">
      <alignment horizontal="center" vertical="center" wrapText="1"/>
    </xf>
    <xf numFmtId="43" fontId="98" fillId="39" borderId="24" xfId="649" applyFont="1" applyFill="1" applyBorder="1" applyAlignment="1">
      <alignment horizontal="center" vertical="center" wrapText="1"/>
    </xf>
    <xf numFmtId="43" fontId="98" fillId="39" borderId="38" xfId="649" applyFont="1" applyFill="1" applyBorder="1" applyAlignment="1">
      <alignment horizontal="center" vertical="center" wrapText="1"/>
    </xf>
    <xf numFmtId="43" fontId="98" fillId="39" borderId="39" xfId="649" applyFont="1" applyFill="1" applyBorder="1" applyAlignment="1">
      <alignment horizontal="center" vertical="center" wrapText="1"/>
    </xf>
    <xf numFmtId="43" fontId="98" fillId="39" borderId="43" xfId="649" applyFont="1" applyFill="1" applyBorder="1" applyAlignment="1">
      <alignment horizontal="center" vertical="center" wrapText="1"/>
    </xf>
    <xf numFmtId="43" fontId="98" fillId="39" borderId="34" xfId="649" applyFont="1" applyFill="1" applyBorder="1" applyAlignment="1">
      <alignment horizontal="center" vertical="center" wrapText="1"/>
    </xf>
    <xf numFmtId="43" fontId="98" fillId="39" borderId="29" xfId="649" applyFont="1" applyFill="1" applyBorder="1" applyAlignment="1">
      <alignment horizontal="center" vertical="center" wrapText="1"/>
    </xf>
    <xf numFmtId="43" fontId="98" fillId="39" borderId="32" xfId="649" applyFont="1" applyFill="1" applyBorder="1" applyAlignment="1">
      <alignment horizontal="center" vertical="center" wrapText="1"/>
    </xf>
    <xf numFmtId="43" fontId="98" fillId="39" borderId="33" xfId="649" applyFont="1" applyFill="1" applyBorder="1" applyAlignment="1">
      <alignment horizontal="center" vertical="center" wrapText="1"/>
    </xf>
    <xf numFmtId="43" fontId="98" fillId="39" borderId="40" xfId="649" applyFont="1" applyFill="1" applyBorder="1" applyAlignment="1">
      <alignment horizontal="center" vertical="center" wrapText="1"/>
    </xf>
    <xf numFmtId="43" fontId="98" fillId="39" borderId="41" xfId="649" applyFont="1" applyFill="1" applyBorder="1" applyAlignment="1">
      <alignment horizontal="center" vertical="center" wrapText="1"/>
    </xf>
    <xf numFmtId="43" fontId="98" fillId="39" borderId="30" xfId="649" applyFont="1" applyFill="1" applyBorder="1" applyAlignment="1">
      <alignment horizontal="center" vertical="center" wrapText="1"/>
    </xf>
    <xf numFmtId="43" fontId="98" fillId="39" borderId="31" xfId="649" applyFont="1" applyFill="1" applyBorder="1" applyAlignment="1">
      <alignment horizontal="center" vertical="center" wrapText="1"/>
    </xf>
    <xf numFmtId="43" fontId="98" fillId="39" borderId="35" xfId="649" applyFont="1" applyFill="1" applyBorder="1" applyAlignment="1">
      <alignment horizontal="center" vertical="center" wrapText="1"/>
    </xf>
    <xf numFmtId="43" fontId="98" fillId="39" borderId="36" xfId="649" applyFont="1" applyFill="1" applyBorder="1" applyAlignment="1">
      <alignment horizontal="center" vertical="center" wrapText="1"/>
    </xf>
    <xf numFmtId="43" fontId="98" fillId="39" borderId="37" xfId="649" applyFont="1" applyFill="1" applyBorder="1" applyAlignment="1">
      <alignment horizontal="center" vertical="center" wrapText="1"/>
    </xf>
    <xf numFmtId="43" fontId="98" fillId="38" borderId="40" xfId="649" applyFont="1" applyFill="1" applyBorder="1" applyAlignment="1">
      <alignment horizontal="center" vertical="center" wrapText="1"/>
    </xf>
    <xf numFmtId="43" fontId="98" fillId="38" borderId="29" xfId="649" applyFont="1" applyFill="1" applyBorder="1" applyAlignment="1">
      <alignment horizontal="center" vertical="center" wrapText="1"/>
    </xf>
  </cellXfs>
  <cellStyles count="833">
    <cellStyle name="_x0002_" xfId="1" xr:uid="{C24E5B6B-5CD1-44DD-A5C6-3CF61380A8FF}"/>
    <cellStyle name="_x0002_ 2" xfId="2" xr:uid="{9457253B-831B-4D9B-A544-8A0E72FBF6BF}"/>
    <cellStyle name="1" xfId="3" xr:uid="{1B8BA376-2F68-4DBF-B807-04B68E0434BA}"/>
    <cellStyle name="2.1" xfId="4" xr:uid="{9E01E6A6-0776-4D95-8EED-5550F943F6EA}"/>
    <cellStyle name="2.1.1" xfId="5" xr:uid="{2F2C0396-D018-48BB-9CDD-D88B281B2468}"/>
    <cellStyle name="2.1.1.1" xfId="6" xr:uid="{0D1925BA-3600-44F4-98D7-4527AC7FCD9E}"/>
    <cellStyle name="20% - Accent1" xfId="7" xr:uid="{489AC1B8-4CC2-419C-B690-CE86E0916C79}"/>
    <cellStyle name="20% - Accent2" xfId="8" xr:uid="{F0D3E8D3-C1D7-4EA9-83FD-4B213E587992}"/>
    <cellStyle name="20% - Accent3" xfId="9" xr:uid="{C7D7B775-B402-49FA-97DC-471A166CA964}"/>
    <cellStyle name="20% - Accent4" xfId="10" xr:uid="{BDAB243B-072E-41CC-B4CD-B364B2406DE6}"/>
    <cellStyle name="20% - Accent5" xfId="11" xr:uid="{BDBF806B-7EAC-481C-9D96-CC3ADE34A81D}"/>
    <cellStyle name="20% - Accent6" xfId="12" xr:uid="{6E609D29-093F-4E2C-A150-12A7F874CC46}"/>
    <cellStyle name="20% - Cor1" xfId="13" xr:uid="{FE3FC6DC-C1EB-4951-8AE3-C45BA8C26A8D}"/>
    <cellStyle name="20% - Cor2" xfId="14" xr:uid="{D56DED22-3EEE-4C12-8CCD-40D583AF2FA1}"/>
    <cellStyle name="20% - Cor3" xfId="15" xr:uid="{E1064578-7BCB-4DBD-88F1-F9FCB254F6E4}"/>
    <cellStyle name="20% - Cor4" xfId="16" xr:uid="{9B1B7526-CD28-46E0-A9CA-6A80129B39CD}"/>
    <cellStyle name="20% - Cor5" xfId="17" xr:uid="{169F2B6C-8503-4C7E-BCDF-B1C223814091}"/>
    <cellStyle name="20% - Cor6" xfId="18" xr:uid="{6D2EB67B-47BF-4251-AB41-12A43ECEF0E6}"/>
    <cellStyle name="20% - Ênfase1 2" xfId="19" xr:uid="{AE39AABA-01B4-479B-9A39-ED3D7E325D35}"/>
    <cellStyle name="20% - Ênfase1 3" xfId="20" xr:uid="{2159F3A0-D037-4C4C-815A-343C5C84C647}"/>
    <cellStyle name="20% - Ênfase2 2" xfId="21" xr:uid="{0EF9F70D-763C-499C-B581-C723294AFEE4}"/>
    <cellStyle name="20% - Ênfase2 3" xfId="22" xr:uid="{8B1AEA29-DC16-4AF6-9572-14BBFEC9785A}"/>
    <cellStyle name="20% - Ênfase3 2" xfId="23" xr:uid="{D5C6E6F1-EF6F-4B40-8A66-8955444E7444}"/>
    <cellStyle name="20% - Ênfase3 3" xfId="24" xr:uid="{57916558-0684-4AC3-B5D2-FF29B27B4862}"/>
    <cellStyle name="20% - Ênfase4 2" xfId="25" xr:uid="{97C99BAF-8A77-4D77-9CD4-1A2721FD6C23}"/>
    <cellStyle name="20% - Ênfase4 3" xfId="26" xr:uid="{D414F333-2067-45CF-8AD3-D1857350EEB0}"/>
    <cellStyle name="20% - Ênfase5 2" xfId="27" xr:uid="{081BFA1D-5E6A-462A-BDD0-85F002BEF7A5}"/>
    <cellStyle name="20% - Ênfase5 3" xfId="28" xr:uid="{A1B56FB7-6D30-4BEA-AFF4-A6135AC41356}"/>
    <cellStyle name="20% - Ênfase6 2" xfId="29" xr:uid="{58B9D78B-6CCB-4AA0-A179-306EBE0E5323}"/>
    <cellStyle name="20% - Ênfase6 3" xfId="30" xr:uid="{19379508-77AF-4A4D-80FB-AECCE9179D54}"/>
    <cellStyle name="40% - Accent1" xfId="31" xr:uid="{35252886-8719-48C1-8CCA-3F18C4C70FF1}"/>
    <cellStyle name="40% - Accent2" xfId="32" xr:uid="{9AD82A5D-10BE-44B5-B4D6-89F6D2DACBA4}"/>
    <cellStyle name="40% - Accent3" xfId="33" xr:uid="{D750540B-000A-46B3-AFA9-C62015F15CFD}"/>
    <cellStyle name="40% - Accent4" xfId="34" xr:uid="{84012079-456D-4DA0-BAA5-B72FCA93970A}"/>
    <cellStyle name="40% - Accent5" xfId="35" xr:uid="{2F135A2E-F29F-44FF-9296-352F2E5BC74B}"/>
    <cellStyle name="40% - Accent6" xfId="36" xr:uid="{70F25931-953E-47CD-A878-0CEE9D77E8C8}"/>
    <cellStyle name="40% - Cor1" xfId="37" xr:uid="{7A51BDB6-526D-4DB8-8E71-6F80168CE8CF}"/>
    <cellStyle name="40% - Cor2" xfId="38" xr:uid="{9A0153D7-DD62-4FC5-8AA3-46C5D2699B62}"/>
    <cellStyle name="40% - Cor3" xfId="39" xr:uid="{0CB5B8C8-44C4-4ED4-A6FB-16EF6D50F178}"/>
    <cellStyle name="40% - Cor4" xfId="40" xr:uid="{B2439519-08C9-4FA9-A14E-54C02F1BCC62}"/>
    <cellStyle name="40% - Cor5" xfId="41" xr:uid="{53C4BF41-FA83-483E-BCEA-7AD1FDBBBFDD}"/>
    <cellStyle name="40% - Cor6" xfId="42" xr:uid="{FEEAA04C-4C18-46A6-86A3-FE85051FA8E5}"/>
    <cellStyle name="40% - Ênfase1 2" xfId="43" xr:uid="{FA903CA6-A1B3-4DE5-AB1F-6456E89E93D5}"/>
    <cellStyle name="40% - Ênfase1 3" xfId="44" xr:uid="{06BC6B96-7326-4AA4-829B-FCD54B272AA1}"/>
    <cellStyle name="40% - Ênfase2 2" xfId="45" xr:uid="{4817C61B-BA4C-45AE-90B8-DCD91F7B577A}"/>
    <cellStyle name="40% - Ênfase2 3" xfId="46" xr:uid="{30D3B31F-CC55-4AF3-8595-A34AE597F792}"/>
    <cellStyle name="40% - Ênfase3 2" xfId="47" xr:uid="{71B254ED-DE0B-4DD1-AEEF-2C78720AF60C}"/>
    <cellStyle name="40% - Ênfase3 3" xfId="48" xr:uid="{D0E22E51-2103-4033-9BC9-85ADCD85E521}"/>
    <cellStyle name="40% - Ênfase4 2" xfId="49" xr:uid="{B2D3F241-7711-4BDB-A346-F102AE59FE04}"/>
    <cellStyle name="40% - Ênfase4 3" xfId="50" xr:uid="{B29305F2-D409-4FAE-BDDD-8CCC26E572CE}"/>
    <cellStyle name="40% - Ênfase5 2" xfId="51" xr:uid="{68063254-642A-422B-8451-621E1784E990}"/>
    <cellStyle name="40% - Ênfase5 3" xfId="52" xr:uid="{97F2B5A8-5029-43CE-A34A-40301B4FAA61}"/>
    <cellStyle name="40% - Ênfase6 2" xfId="53" xr:uid="{4AC75B23-EC67-46F8-8E76-D2D614C35AEB}"/>
    <cellStyle name="40% - Ênfase6 3" xfId="54" xr:uid="{7E62D5EF-74D3-477F-9C4A-C2EC63FBE6D0}"/>
    <cellStyle name="60% - Accent1" xfId="55" xr:uid="{E0994E38-8BE2-4309-9423-AB680776F008}"/>
    <cellStyle name="60% - Accent2" xfId="56" xr:uid="{ACC4EA5E-E1FC-402A-9745-10D76A87C7E6}"/>
    <cellStyle name="60% - Accent3" xfId="57" xr:uid="{90237B95-3FB4-4BEB-9D3F-B2911F70C880}"/>
    <cellStyle name="60% - Accent4" xfId="58" xr:uid="{D670CD6D-FE2A-4D76-8FA9-E5717E1C2A94}"/>
    <cellStyle name="60% - Accent5" xfId="59" xr:uid="{030B840F-E2EA-46F5-ABC2-B2EE78478051}"/>
    <cellStyle name="60% - Accent6" xfId="60" xr:uid="{986B71E3-1C16-45A7-8A2C-9D5F20A0274D}"/>
    <cellStyle name="60% - Cor1" xfId="61" xr:uid="{472BC3D3-ADE4-48D0-BEE9-2FDF6510FD3D}"/>
    <cellStyle name="60% - Cor2" xfId="62" xr:uid="{C8F126A1-BF3D-4F70-831C-52FF55C1B9FC}"/>
    <cellStyle name="60% - Cor3" xfId="63" xr:uid="{6CB4AE3B-3937-4395-8B4C-CF507D3B9D3F}"/>
    <cellStyle name="60% - Cor4" xfId="64" xr:uid="{C4676018-6C61-4E74-9B2F-C9D6F9DEFDEC}"/>
    <cellStyle name="60% - Cor5" xfId="65" xr:uid="{F406685C-BA9E-4CAA-80F3-AE9C3B62E85F}"/>
    <cellStyle name="60% - Cor6" xfId="66" xr:uid="{D68D45D7-8E2A-44C2-B3B7-BE6B6CAC8FF8}"/>
    <cellStyle name="60% - Ênfase1 2" xfId="67" xr:uid="{DAF3BE11-413E-4F4F-8137-A3F1103D9CFD}"/>
    <cellStyle name="60% - Ênfase1 3" xfId="68" xr:uid="{533B2E1D-9A69-436D-B389-31974F91AEEC}"/>
    <cellStyle name="60% - Ênfase2 2" xfId="69" xr:uid="{A52CFC70-48BA-4B07-A116-77C54F301FC9}"/>
    <cellStyle name="60% - Ênfase2 3" xfId="70" xr:uid="{1463AF7C-7E28-4922-9687-BFD4959B8DD5}"/>
    <cellStyle name="60% - Ênfase3 2" xfId="71" xr:uid="{071519F8-827B-4849-8216-0F970822E553}"/>
    <cellStyle name="60% - Ênfase3 3" xfId="72" xr:uid="{83056C4F-0B62-4A44-B476-982507F75C77}"/>
    <cellStyle name="60% - Ênfase4 2" xfId="73" xr:uid="{74783219-41A2-4CFD-9CCE-C845FC9349BF}"/>
    <cellStyle name="60% - Ênfase4 3" xfId="74" xr:uid="{412C0669-4171-42AB-8BC0-620E7023D4A3}"/>
    <cellStyle name="60% - Ênfase5 2" xfId="75" xr:uid="{13776745-B38D-4AC8-99EE-84B3AA543B90}"/>
    <cellStyle name="60% - Ênfase5 3" xfId="76" xr:uid="{F77A68E6-29B1-4DCB-B117-F8A5B7C89F86}"/>
    <cellStyle name="60% - Ênfase6 2" xfId="77" xr:uid="{98AE0322-B9BF-43B1-BF76-128B567D1C6A}"/>
    <cellStyle name="60% - Ênfase6 3" xfId="78" xr:uid="{2155A762-B887-461A-8DF7-CC85CD6EC57A}"/>
    <cellStyle name="Accent1" xfId="79" xr:uid="{B68B6DCF-75A5-44B8-A02E-05421F9DC835}"/>
    <cellStyle name="Accent2" xfId="80" xr:uid="{19FAD227-6EC7-48B3-BE03-B47D6DBCB876}"/>
    <cellStyle name="Accent3" xfId="81" xr:uid="{25AA6332-3422-41FB-9367-2BA91B2C201E}"/>
    <cellStyle name="Accent4" xfId="82" xr:uid="{B86D216A-10AE-4A07-9E2A-3CACCFC7B737}"/>
    <cellStyle name="Accent5" xfId="83" xr:uid="{603BAC7B-0BC0-45CB-8719-D328BA42F585}"/>
    <cellStyle name="Accent6" xfId="84" xr:uid="{99C4AD29-7F76-4BE4-B00E-54155E45960E}"/>
    <cellStyle name="Bad" xfId="85" xr:uid="{E742DB7A-30CC-43B6-B1D7-9A50753DC898}"/>
    <cellStyle name="Bom 2" xfId="86" xr:uid="{64DB4050-5D40-441D-8270-BA5A3671F01F}"/>
    <cellStyle name="Bom 3" xfId="87" xr:uid="{538A2A63-98FF-4BE5-8D3B-66EFCF82663A}"/>
    <cellStyle name="CABEÇALHO" xfId="88" xr:uid="{164CBDDB-4AC3-42FD-B974-3D5369DB9160}"/>
    <cellStyle name="Cabeçalho 1" xfId="89" xr:uid="{82150024-3140-4C4C-B9BD-95B74D51238B}"/>
    <cellStyle name="Cabeçalho 2" xfId="90" xr:uid="{6593ABB7-34D3-4C92-BF5D-EDED10D581EB}"/>
    <cellStyle name="Cabeçalho 3" xfId="91" xr:uid="{66BF9BE1-F6C2-42E6-BB40-8A412D8A6251}"/>
    <cellStyle name="Cabeçalho 4" xfId="92" xr:uid="{CCD447A9-771F-48C6-AA97-1D5A4EB5EA43}"/>
    <cellStyle name="Calculation" xfId="93" xr:uid="{6E612C06-A36E-4304-B670-4530E5F2123F}"/>
    <cellStyle name="Calculation 2" xfId="94" xr:uid="{62F4AC39-65AD-43EA-84E9-8692CB40B48E}"/>
    <cellStyle name="Cálculo 2" xfId="95" xr:uid="{447B688C-9FAB-4D9F-BEA5-832E58343272}"/>
    <cellStyle name="Cálculo 2 2" xfId="96" xr:uid="{9103928E-E7FD-4FC7-B583-A5615BF26B27}"/>
    <cellStyle name="Cálculo 3" xfId="97" xr:uid="{8FEB2726-4BE2-411E-9E8C-FBC87B53ED9F}"/>
    <cellStyle name="Cálculo 3 2" xfId="98" xr:uid="{0FD28224-79BE-4A77-AB29-0B0AE64C9177}"/>
    <cellStyle name="Cancel" xfId="99" xr:uid="{802E070A-6C6B-488F-B560-903A1D6E8C1F}"/>
    <cellStyle name="Cancel 2" xfId="100" xr:uid="{842BF992-6971-4704-B7F0-0CEB591BB031}"/>
    <cellStyle name="Célula de Verificação 2" xfId="101" xr:uid="{928C6543-1E52-49B3-8967-B58390A72953}"/>
    <cellStyle name="Célula de Verificação 3" xfId="102" xr:uid="{C3B47709-7235-4132-B4B8-0F075166816A}"/>
    <cellStyle name="Célula Ligada" xfId="103" xr:uid="{0FB1E89F-AF4F-48BE-85EE-E59D77A0A947}"/>
    <cellStyle name="Célula Vinculada 2" xfId="104" xr:uid="{A1388167-D471-4A75-AA1D-EFA182D66CDD}"/>
    <cellStyle name="Célula Vinculada 3" xfId="105" xr:uid="{60ADAE65-7A4A-457E-8D04-43A877EF336B}"/>
    <cellStyle name="Check Cell" xfId="106" xr:uid="{CEB8AD69-6CCB-43B8-B509-2FCAF78FB0BA}"/>
    <cellStyle name="Comma_Sheet1" xfId="107" xr:uid="{35377BFD-A5F6-4CE0-941B-436189AD3EB5}"/>
    <cellStyle name="Comma0" xfId="108" xr:uid="{C9C1DB07-CFE7-44B1-98D7-EE24F8BF4024}"/>
    <cellStyle name="Comma0 2" xfId="109" xr:uid="{5A120A4A-5B70-4CAB-9590-592362358E15}"/>
    <cellStyle name="Cor1" xfId="110" xr:uid="{08A7BFBB-C109-4E18-BFC5-6AD4DB41E95C}"/>
    <cellStyle name="Cor2" xfId="111" xr:uid="{24BA26C9-4956-4E57-92E7-0D24C3B5580E}"/>
    <cellStyle name="Cor3" xfId="112" xr:uid="{9BDEE25C-0EA3-474A-83C4-50DC9B3D2D39}"/>
    <cellStyle name="Cor4" xfId="113" xr:uid="{933233A9-CD71-4792-B523-883CAE75C1C1}"/>
    <cellStyle name="Cor5" xfId="114" xr:uid="{490FDE0D-DC58-4E3D-B6EF-B0E808C0029B}"/>
    <cellStyle name="Cor6" xfId="115" xr:uid="{28A70F8B-EF2B-48C3-A726-4E4804B8C664}"/>
    <cellStyle name="Correcto" xfId="116" xr:uid="{0B91A7FD-80F9-4C12-9213-26E06137B219}"/>
    <cellStyle name="CPU" xfId="117" xr:uid="{048B679D-999B-448E-AD62-8D23978B8516}"/>
    <cellStyle name="Currency [0]_Sheet1" xfId="118" xr:uid="{BD812558-D53F-48A5-951E-2497D88FBC01}"/>
    <cellStyle name="Currency_Sheet1" xfId="119" xr:uid="{E5292BF0-7F38-429D-9667-4EE534658B97}"/>
    <cellStyle name="Currency0" xfId="120" xr:uid="{F0024A75-8272-473E-8AFA-A19DD0133F16}"/>
    <cellStyle name="Currency0 2" xfId="121" xr:uid="{ECED0D52-3FB9-4155-9B4D-AA17456FF206}"/>
    <cellStyle name="Data" xfId="122" xr:uid="{FB13AD96-34D0-4F5A-B183-4874BE321CDB}"/>
    <cellStyle name="Data 2" xfId="123" xr:uid="{FC73DFE5-AF7C-42ED-BA1E-98CC9E419E77}"/>
    <cellStyle name="Date" xfId="124" xr:uid="{32FF0920-1A01-4F0C-94BB-02AEB9F514A7}"/>
    <cellStyle name="Date 2" xfId="125" xr:uid="{57EABB3E-66A6-4D21-A06B-B58A0A903FE5}"/>
    <cellStyle name="Ênfase1 2" xfId="126" xr:uid="{63DBE770-A6B1-4C7D-A51F-A8F751000914}"/>
    <cellStyle name="Ênfase1 3" xfId="127" xr:uid="{01971829-F069-4558-BB8D-752141706849}"/>
    <cellStyle name="Ênfase2 2" xfId="128" xr:uid="{CD5D061B-D3B5-42FB-9ABE-DAB3C71CB659}"/>
    <cellStyle name="Ênfase2 3" xfId="129" xr:uid="{FD33772E-B59C-46EB-9442-5A4BD28FD08F}"/>
    <cellStyle name="Ênfase3 2" xfId="130" xr:uid="{255AF0D4-9950-49C8-A00E-2A8AE845464D}"/>
    <cellStyle name="Ênfase3 3" xfId="131" xr:uid="{5DDC1549-DBBD-4197-8627-20554AC62D56}"/>
    <cellStyle name="Ênfase4 2" xfId="132" xr:uid="{75D2EA87-F3A2-48C6-8165-737DD23E6360}"/>
    <cellStyle name="Ênfase4 3" xfId="133" xr:uid="{592A6A9C-B128-4750-A6E3-6CC14A562844}"/>
    <cellStyle name="Ênfase5 2" xfId="134" xr:uid="{552F8F81-7E7D-4D8A-AE68-F6E4D14D9772}"/>
    <cellStyle name="Ênfase5 3" xfId="135" xr:uid="{3F0F1816-4B49-47EB-A01F-C0B1C3A0F2B5}"/>
    <cellStyle name="Ênfase6 2" xfId="136" xr:uid="{303B9854-F547-4C18-BCA6-95B6D3E39CB0}"/>
    <cellStyle name="Ênfase6 3" xfId="137" xr:uid="{C72FECE9-707A-4125-96D8-C87CE80ED8FB}"/>
    <cellStyle name="Entrada 2" xfId="138" xr:uid="{1260C7A9-03B0-4564-99AD-5AEF349EA75F}"/>
    <cellStyle name="Entrada 2 2" xfId="139" xr:uid="{349B6DFC-DA3C-4EB0-9E54-7A29DFFCE626}"/>
    <cellStyle name="Entrada 3" xfId="140" xr:uid="{4AD88FD9-128F-45A3-864B-47E836F72475}"/>
    <cellStyle name="Entrada 3 2" xfId="141" xr:uid="{E2FD3D10-6683-458A-A774-4CD11952A9BF}"/>
    <cellStyle name="Estilo 1" xfId="142" xr:uid="{C63A825A-2F77-430B-99A1-519F631DFE99}"/>
    <cellStyle name="Euro" xfId="143" xr:uid="{AD47A5BE-7A1C-440C-9283-BD8AA5B2A510}"/>
    <cellStyle name="Euro 2" xfId="144" xr:uid="{A07411EA-8E6D-4DB1-A9A0-E3DB76AA8D42}"/>
    <cellStyle name="Explanatory Text" xfId="145" xr:uid="{B0CADFC4-C2C5-43B3-A9B7-9506E9C70B9C}"/>
    <cellStyle name="Fixed" xfId="146" xr:uid="{7B0A4523-D392-4ADA-B291-ECC3D2F5D3B3}"/>
    <cellStyle name="Fixed 2" xfId="147" xr:uid="{A044EB67-475A-4156-92E6-C5C121AB7041}"/>
    <cellStyle name="Fixo" xfId="148" xr:uid="{CC10881C-F1B0-4FF9-A297-170551C7044E}"/>
    <cellStyle name="Fixo 2" xfId="149" xr:uid="{63B8DABB-738C-4A23-A73E-10E8CE482166}"/>
    <cellStyle name="Good" xfId="150" xr:uid="{44EF3F0E-D3ED-4B9E-AFB5-7C7389A3CEC6}"/>
    <cellStyle name="Heading 1" xfId="151" xr:uid="{74C53B03-121A-429B-806C-706681849AD1}"/>
    <cellStyle name="Heading 2" xfId="152" xr:uid="{918B8D38-99A9-44E3-A84C-69E91B7CFCDC}"/>
    <cellStyle name="Heading 3" xfId="153" xr:uid="{A41BC45E-582F-41E7-9E3F-4FC8BFD53A7C}"/>
    <cellStyle name="Heading 4" xfId="154" xr:uid="{A47BCD56-3579-452B-8E7D-78BF8B09C636}"/>
    <cellStyle name="Hiperligação 2" xfId="155" xr:uid="{B967DD5B-8F66-4514-96D6-59024C4DB9C7}"/>
    <cellStyle name="Hiperligação 2 2" xfId="156" xr:uid="{32C3E75A-E8D0-48FF-B266-3508EC8B0C87}"/>
    <cellStyle name="Hiperligação 3" xfId="157" xr:uid="{1CD1F835-02A2-483C-AE9C-5F21C6D0094B}"/>
    <cellStyle name="Hyperlink 2" xfId="158" xr:uid="{B32A7172-88CA-4212-9023-1A8DAE50856E}"/>
    <cellStyle name="Hyperlink 3" xfId="159" xr:uid="{F8FA2601-3359-44BD-B16E-0CCD329F410B}"/>
    <cellStyle name="Hyperlink 3 2" xfId="160" xr:uid="{B6CB16FD-10BD-4DCF-92B9-8328FA861E62}"/>
    <cellStyle name="Hyperlink 3_BM NSG_FEV-10" xfId="161" xr:uid="{857AA978-89AE-48DA-8350-AC2AD1F890C1}"/>
    <cellStyle name="Incorrecto" xfId="162" xr:uid="{28662727-C244-455D-9129-D350C903FF7F}"/>
    <cellStyle name="Incorreto" xfId="163" xr:uid="{DBA6CC35-127F-400D-BE4A-B8E25E521814}"/>
    <cellStyle name="Incorreto 2" xfId="164" xr:uid="{8ED8ED48-E74D-45C5-89AB-59E9746152EA}"/>
    <cellStyle name="Indefinido" xfId="165" xr:uid="{43EA8569-028A-46C5-B7BF-3FCBA7F6E0F6}"/>
    <cellStyle name="Input" xfId="166" xr:uid="{AB145678-A26F-43C7-8035-E03CB8A19EB3}"/>
    <cellStyle name="Input 2" xfId="167" xr:uid="{04183F01-1AB7-499A-9DB2-FD88F8023686}"/>
    <cellStyle name="ÌTENS" xfId="168" xr:uid="{77FBBF02-A036-4BAF-A787-FF3E6813ACCB}"/>
    <cellStyle name="Linked Cell" xfId="169" xr:uid="{38B32B79-46F8-4599-8DDF-A92B293F98C5}"/>
    <cellStyle name="Moeda" xfId="170" builtinId="4"/>
    <cellStyle name="Moeda 10" xfId="171" xr:uid="{BFD6E20B-AB82-47CB-9EB7-ED9E90A93088}"/>
    <cellStyle name="Moeda 2" xfId="172" xr:uid="{B203C79B-EC1E-40FA-B0CD-BEF4C17ADE27}"/>
    <cellStyle name="Moeda 2 2" xfId="173" xr:uid="{2399DB61-3AB2-499F-8E22-D62C152B4308}"/>
    <cellStyle name="Moeda 2 2 2" xfId="174" xr:uid="{390CECA6-1F32-4714-A84E-10926C625CB4}"/>
    <cellStyle name="Moeda 2 2 2 2" xfId="175" xr:uid="{B0AA03F3-4D3A-469D-8AE6-32FC241A8548}"/>
    <cellStyle name="Moeda 2 2 2 3" xfId="176" xr:uid="{F783B7CD-87B0-414E-8682-31F71EA25372}"/>
    <cellStyle name="Moeda 2 2 3" xfId="177" xr:uid="{7EDDC137-FDF8-49A7-B8D4-340C1D1DEB14}"/>
    <cellStyle name="Moeda 2 2 4" xfId="178" xr:uid="{6F4B0233-15FF-4929-BB90-DF5FB5460EDB}"/>
    <cellStyle name="Moeda 2 2 4 2" xfId="179" xr:uid="{0392F0C5-4FB9-4A18-B6B1-A7784B489532}"/>
    <cellStyle name="Moeda 2 2 5" xfId="180" xr:uid="{8E53A26C-24FA-47FB-ADC7-E77736FDF0AC}"/>
    <cellStyle name="Moeda 2 3" xfId="181" xr:uid="{C094A1B8-6CA4-4E98-8952-8D31FEF3A659}"/>
    <cellStyle name="Moeda 2 3 2" xfId="182" xr:uid="{DFBB5F3A-BBE1-447C-B869-B690D4DF3646}"/>
    <cellStyle name="Moeda 2 3 3" xfId="183" xr:uid="{632DCCAB-3DAD-4ACE-AAF1-7342DCFABB38}"/>
    <cellStyle name="Moeda 2 4" xfId="184" xr:uid="{42F79AB2-8A63-475B-B732-174C25CB5592}"/>
    <cellStyle name="Moeda 2 5" xfId="185" xr:uid="{1E0EEF98-2383-486A-8337-9018947E8F11}"/>
    <cellStyle name="Moeda 2_14 BM BCL" xfId="186" xr:uid="{C478F94C-1D01-43DA-98B6-6EEFCA9F17D1}"/>
    <cellStyle name="Moeda 3" xfId="187" xr:uid="{41B6D877-931B-468C-B9C2-7366E5EE1527}"/>
    <cellStyle name="Moeda 3 2" xfId="188" xr:uid="{9745CA79-B27E-48CF-956E-CD4E577FCD6F}"/>
    <cellStyle name="Moeda 3 2 2" xfId="189" xr:uid="{DC97F495-8BF6-48EC-BE3B-764DC58D64F1}"/>
    <cellStyle name="Moeda 3 2 2 2" xfId="190" xr:uid="{02BE7DFC-E557-4919-AC3F-75AEFB9591F2}"/>
    <cellStyle name="Moeda 3 2 2 2 2" xfId="191" xr:uid="{BBA6E007-D085-419F-8E08-7B86CC325C60}"/>
    <cellStyle name="Moeda 3 2 2 3" xfId="192" xr:uid="{5A22E2E7-6331-430D-9A14-0B793DCF07DC}"/>
    <cellStyle name="Moeda 3 2 2 4" xfId="193" xr:uid="{9DA642AC-BF89-445D-BD1A-B85E1E91514E}"/>
    <cellStyle name="Moeda 3 2 3" xfId="194" xr:uid="{A144A34C-98BE-4FE0-A03C-7912D70FFB4C}"/>
    <cellStyle name="Moeda 3 3" xfId="195" xr:uid="{40EB4BDA-3C3E-4F8A-AC6A-6F8C07D163E5}"/>
    <cellStyle name="Moeda 3 4" xfId="196" xr:uid="{B0A49699-8007-4355-871D-A259298E1862}"/>
    <cellStyle name="Moeda 3 5" xfId="197" xr:uid="{3119EC8A-2B6D-49E2-8284-E06D94963DB8}"/>
    <cellStyle name="Moeda 3 6" xfId="198" xr:uid="{B1CD77E4-DB2D-45DD-9B98-CC95F13BB42F}"/>
    <cellStyle name="Moeda 3_14 BM BCL" xfId="199" xr:uid="{9EBC2233-3841-4277-92B6-4A335F9A7D4D}"/>
    <cellStyle name="Moeda 4" xfId="200" xr:uid="{514D6C33-B622-4C54-9BED-C9A4E9DB10CB}"/>
    <cellStyle name="Moeda 4 2" xfId="201" xr:uid="{C7C6B08F-9C6D-4F46-B30B-8B32C426FF1A}"/>
    <cellStyle name="Moeda 4 3" xfId="202" xr:uid="{02315536-C65E-42B5-93C3-5A2B1C18FDAB}"/>
    <cellStyle name="Moeda 4 4" xfId="203" xr:uid="{0924E4C3-F34D-4569-BF79-5EAAAB234C17}"/>
    <cellStyle name="Moeda 4 5" xfId="204" xr:uid="{F5A689F2-D2A4-4991-96B6-3103E3155A76}"/>
    <cellStyle name="Moeda 5" xfId="205" xr:uid="{DFCF7ED7-1173-4B05-83C4-D8ED831B6F44}"/>
    <cellStyle name="Moeda 5 2" xfId="206" xr:uid="{F88FC855-43CB-42F9-9B6E-103D4F8CE579}"/>
    <cellStyle name="Moeda 5 3" xfId="207" xr:uid="{4E8F4506-8756-4784-AA3D-A5B245AFC9A4}"/>
    <cellStyle name="Moeda 6" xfId="208" xr:uid="{E5ABC740-C3D8-42D0-94E9-9635E55530F1}"/>
    <cellStyle name="Moeda 6 2" xfId="209" xr:uid="{26291B43-C626-4FE7-9C9A-0E657F6B6F1D}"/>
    <cellStyle name="Moeda 6 2 2" xfId="210" xr:uid="{5D95573D-D109-4FA5-9887-B897584CB2CF}"/>
    <cellStyle name="Moeda 6 2 2 2" xfId="211" xr:uid="{A4D859B9-09DB-4B6C-AD5B-9D1956EB7EC3}"/>
    <cellStyle name="Moeda 6 2 3" xfId="212" xr:uid="{2C708044-AAF6-4B63-915F-3E9D0B7354D4}"/>
    <cellStyle name="Moeda 6 2 4" xfId="213" xr:uid="{482E9A12-1B7E-4602-9653-F3DCE5DFF488}"/>
    <cellStyle name="Moeda 6 3" xfId="214" xr:uid="{3861B011-57FC-4FB6-89B5-415F490E40DE}"/>
    <cellStyle name="Moeda 6 3 2" xfId="215" xr:uid="{7EB5AF44-1A85-44DA-8FEC-C20D4C02A70A}"/>
    <cellStyle name="Moeda 6 4" xfId="216" xr:uid="{6330AFC7-E123-4A7C-877F-1EA09E56F362}"/>
    <cellStyle name="Moeda 6 5" xfId="217" xr:uid="{5CE47722-9A96-41BE-A488-C1A7BE62086D}"/>
    <cellStyle name="Moeda 6 6" xfId="218" xr:uid="{C47AD664-0642-497E-917D-2E571BB6BF9E}"/>
    <cellStyle name="Moeda 7" xfId="219" xr:uid="{4C8AA14A-9989-4493-8140-A8DDD0ACD7C9}"/>
    <cellStyle name="Moeda 7 2" xfId="220" xr:uid="{1F19736A-57F9-4C9D-97AC-5B8497651540}"/>
    <cellStyle name="Moeda 7 2 2" xfId="221" xr:uid="{A1FBC3B4-0447-4F73-9217-B923E419110D}"/>
    <cellStyle name="Moeda 7 2 2 2" xfId="222" xr:uid="{1A8C54D4-C454-4F8F-B5FD-B5F65ECC06D8}"/>
    <cellStyle name="Moeda 7 2 2 2 2" xfId="223" xr:uid="{565DBFE8-83B2-4ED6-A0DC-45D14F652FC3}"/>
    <cellStyle name="Moeda 7 2 2 2 2 2" xfId="224" xr:uid="{2C7B826C-E720-4063-9392-B7E6A5BD38D0}"/>
    <cellStyle name="Moeda 7 2 2 2 2 2 2" xfId="225" xr:uid="{4D894D28-39E6-44D6-A0AA-A6ECD6FBEA40}"/>
    <cellStyle name="Moeda 7 2 2 2 3" xfId="226" xr:uid="{D229F674-9D44-4530-85F5-FBBA1A296A6F}"/>
    <cellStyle name="Moeda 7 2 2 2 3 2" xfId="227" xr:uid="{D0E77F97-147E-482F-959A-BA662927361C}"/>
    <cellStyle name="Moeda 7 2 2 2 4" xfId="228" xr:uid="{85351946-FDA2-4C4E-9F30-BE13B0CEC59D}"/>
    <cellStyle name="Moeda 7 2 2 2 5" xfId="229" xr:uid="{B320B3B1-CC8F-4736-8044-09D44CA92A3C}"/>
    <cellStyle name="Moeda 7 2 2 3" xfId="230" xr:uid="{23153325-C379-402D-8D31-148C4AB8C207}"/>
    <cellStyle name="Moeda 7 2 2 3 2" xfId="231" xr:uid="{D44955BF-9E74-46A6-BF8C-8613FD62F338}"/>
    <cellStyle name="Moeda 7 2 2 3 2 2" xfId="232" xr:uid="{D65B5ACC-6916-4E99-AE7E-86F7286E6EBD}"/>
    <cellStyle name="Moeda 7 2 2 3 3" xfId="233" xr:uid="{1BE250D7-2C42-4CAD-B4D1-A25B0D80BB80}"/>
    <cellStyle name="Moeda 7 2 2 3 4" xfId="234" xr:uid="{DA642020-1CD8-439E-A11C-7BD5262B4ADB}"/>
    <cellStyle name="Moeda 7 2 2 4" xfId="235" xr:uid="{DADB18D5-B27F-4A43-86FF-E10CE8528792}"/>
    <cellStyle name="Moeda 7 2 2 4 2" xfId="236" xr:uid="{B2B58267-FFCA-444C-90CC-A84C8B89ADB0}"/>
    <cellStyle name="Moeda 7 2 2 5" xfId="237" xr:uid="{1DAF4637-DE74-4FE2-A1DE-EE69952491C8}"/>
    <cellStyle name="Moeda 7 2 2 6" xfId="238" xr:uid="{2E6FF3BD-ACB7-4DEA-B8EB-4502C353EEC8}"/>
    <cellStyle name="Moeda 7 2 3" xfId="239" xr:uid="{4A0FEB1A-0C6B-49A8-ADC9-E47524BCCB3C}"/>
    <cellStyle name="Moeda 7 2 3 2" xfId="240" xr:uid="{9F8A5965-A45F-4830-B5E7-4146E646F2A2}"/>
    <cellStyle name="Moeda 7 2 3 2 2" xfId="241" xr:uid="{4A45581C-A948-4319-A05D-F640C54AE1B8}"/>
    <cellStyle name="Moeda 7 2 3 3" xfId="242" xr:uid="{F3250293-0406-4D99-9CE2-54379AC378E3}"/>
    <cellStyle name="Moeda 7 2 3 4" xfId="243" xr:uid="{FD3953B4-DA77-4345-9195-3E7BAD8A0C4C}"/>
    <cellStyle name="Moeda 7 2 4" xfId="244" xr:uid="{D85EDD93-3B81-454F-AF32-4FD413EA1A38}"/>
    <cellStyle name="Moeda 7 2 4 2" xfId="245" xr:uid="{578B66D4-5D30-4090-82F4-D4BA6520B944}"/>
    <cellStyle name="Moeda 7 2 5" xfId="246" xr:uid="{1FBF88B5-8966-463B-84CB-68958115D865}"/>
    <cellStyle name="Moeda 7 2 6" xfId="247" xr:uid="{E7076261-FF18-48A7-BC9E-794E4A84F74D}"/>
    <cellStyle name="Moeda 7 3" xfId="248" xr:uid="{E9A07D46-AF66-4AC6-81B6-AF122B372CD2}"/>
    <cellStyle name="Moeda 7 3 2" xfId="249" xr:uid="{4712CDF7-F68D-4D47-9681-2271174BB535}"/>
    <cellStyle name="Moeda 7 3 2 2" xfId="250" xr:uid="{FDDB2D2F-ED48-4ED7-BA48-BBB0BE8B8C3D}"/>
    <cellStyle name="Moeda 7 3 3" xfId="251" xr:uid="{5FC3BB59-78EB-4451-85FF-4B9DF876B54C}"/>
    <cellStyle name="Moeda 7 3 4" xfId="252" xr:uid="{242F4B47-40BA-4A97-847E-1134D15BB393}"/>
    <cellStyle name="Moeda 7 4" xfId="253" xr:uid="{A830C5B2-E7D0-4820-A329-AB8A26EFD3E5}"/>
    <cellStyle name="Moeda 7 4 2" xfId="254" xr:uid="{D570E2E6-CDD3-4A14-A110-4E6E3761AD0F}"/>
    <cellStyle name="Moeda 7 5" xfId="255" xr:uid="{A061812D-B797-4983-91EE-E5F91005F491}"/>
    <cellStyle name="Moeda 7 6" xfId="256" xr:uid="{03559A18-C0F5-4896-89BD-2E7A2CE09A42}"/>
    <cellStyle name="Moeda 7 7" xfId="257" xr:uid="{817A7CF3-A672-4DD9-BC19-C182178074EF}"/>
    <cellStyle name="Moeda 8" xfId="258" xr:uid="{B11E872A-4A2A-423B-81E9-EEF409463215}"/>
    <cellStyle name="Moeda 9" xfId="259" xr:uid="{8E1AC735-C578-4863-8FB2-6A95F45D750D}"/>
    <cellStyle name="Neutra" xfId="260" xr:uid="{DD02FC0F-DA7D-4D6B-A839-D24F533B960F}"/>
    <cellStyle name="Neutra 2" xfId="261" xr:uid="{7CEB970D-265B-450D-9527-AB3547E1AEA2}"/>
    <cellStyle name="Neutral" xfId="262" xr:uid="{431A49B8-69F4-40F0-A364-893F2DFCA380}"/>
    <cellStyle name="Neutro 2" xfId="263" xr:uid="{A649A9AE-49C5-41C2-93D7-020BCA781ADE}"/>
    <cellStyle name="NIVEL2" xfId="264" xr:uid="{188FC326-80DD-408A-835C-C17204607F2D}"/>
    <cellStyle name="Normal" xfId="0" builtinId="0"/>
    <cellStyle name="Normal - Style1 3" xfId="265" xr:uid="{2FF88D4C-85BF-46C9-B39A-D3465992E3E0}"/>
    <cellStyle name="Normal 10" xfId="266" xr:uid="{358C1950-053A-42A4-988C-3B3488C38311}"/>
    <cellStyle name="Normal 10 10" xfId="267" xr:uid="{E10B377D-ED3D-4C66-AF1E-7CDB96DCB14A}"/>
    <cellStyle name="Normal 10 10 2" xfId="268" xr:uid="{C3D06F2A-8D39-4211-AF5E-42AB3F6F8DD4}"/>
    <cellStyle name="Normal 10 12" xfId="269" xr:uid="{2C985339-1F88-498E-8E77-FA361DCD8ACB}"/>
    <cellStyle name="Normal 10 13" xfId="270" xr:uid="{CA2582C5-CE08-4418-A2CF-5031A1045574}"/>
    <cellStyle name="Normal 10 2" xfId="271" xr:uid="{43BD1E8F-3D05-442B-B121-37BFE3DA4558}"/>
    <cellStyle name="Normal 10 2 2" xfId="272" xr:uid="{56E593B7-86BF-4193-A9EF-ACE05DD7CD4E}"/>
    <cellStyle name="Normal 10 2 3" xfId="273" xr:uid="{8A7CB929-3C38-4017-9902-4B22C0F9B42F}"/>
    <cellStyle name="Normal 10 3" xfId="274" xr:uid="{DD5B084C-DEE5-4055-9142-DD600773D852}"/>
    <cellStyle name="Normal 10 3 2" xfId="275" xr:uid="{0EFF01A8-7AD7-4FC5-9F34-321492E6B283}"/>
    <cellStyle name="Normal 11" xfId="276" xr:uid="{E1937290-A516-45AB-8059-9945D357D2B1}"/>
    <cellStyle name="Normal 11 14" xfId="277" xr:uid="{78A6D3EA-3894-46D0-8F65-B6A285DDD33F}"/>
    <cellStyle name="Normal 11 2" xfId="278" xr:uid="{5F37553F-1A09-4B5B-9F1F-BA9335B63C13}"/>
    <cellStyle name="Normal 11 2 2" xfId="279" xr:uid="{87E57216-3F5D-4735-BE37-5AAE55AEE395}"/>
    <cellStyle name="Normal 11 2 2 2" xfId="280" xr:uid="{5A4FA79C-39B7-47C7-B140-B8401365493D}"/>
    <cellStyle name="Normal 11 2 2 2 2" xfId="281" xr:uid="{A6CA8FBC-A974-43B0-9B7D-146D811E9C50}"/>
    <cellStyle name="Normal 11 2 2 3" xfId="282" xr:uid="{2A6E22F1-B4F0-44E9-B092-8B4698282C65}"/>
    <cellStyle name="Normal 11 2 2 3 2" xfId="283" xr:uid="{01AC8A20-2093-4F4C-9E68-FB734945FECB}"/>
    <cellStyle name="Normal 11 2 2 4" xfId="284" xr:uid="{E2B45530-F506-4733-B4A6-93FAC0DE34D5}"/>
    <cellStyle name="Normal 11 2 3" xfId="285" xr:uid="{DBBBA28B-E81E-40C2-87AD-DE55C7551178}"/>
    <cellStyle name="Normal 11 2 3 2" xfId="286" xr:uid="{AEDCF1B3-69E1-4A27-B241-19E5616380BB}"/>
    <cellStyle name="Normal 11 2 4" xfId="287" xr:uid="{5A7D0570-1DA8-4E5F-85A1-6192D2A96D33}"/>
    <cellStyle name="Normal 11 2 5" xfId="288" xr:uid="{A6A72D37-E8AB-4F10-B70A-F151DB8BF403}"/>
    <cellStyle name="Normal 11 3" xfId="289" xr:uid="{EBC1BF9C-CD1B-4F6A-A3D8-CF09C2A49AEE}"/>
    <cellStyle name="Normal 11 3 2" xfId="290" xr:uid="{342B61E5-33A5-440C-914F-DABC978249A3}"/>
    <cellStyle name="Normal 11 4" xfId="291" xr:uid="{431553A9-9A9A-41FB-9E78-331427681103}"/>
    <cellStyle name="Normal 12" xfId="292" xr:uid="{34D6D59D-7C0E-438E-849E-8B95DB85D843}"/>
    <cellStyle name="Normal 13" xfId="293" xr:uid="{AF956179-A5A1-45BA-A27F-2FBE14427D8F}"/>
    <cellStyle name="Normal 13 3 2 4" xfId="294" xr:uid="{FF7AF6D4-5661-40FB-8C08-E8F0C9670E39}"/>
    <cellStyle name="Normal 13 3 2 4 2" xfId="295" xr:uid="{59E71714-CF95-46B5-8AD2-251CD6D4E18D}"/>
    <cellStyle name="Normal 13 3 4" xfId="296" xr:uid="{576CA821-C7C7-4A35-9633-46605FF80DFC}"/>
    <cellStyle name="Normal 13 3 4 2" xfId="297" xr:uid="{C1D3BB2E-6295-4E59-9363-11575CF291D9}"/>
    <cellStyle name="Normal 13 5 2 2 2" xfId="298" xr:uid="{5AADC7D8-47A6-41F7-85BD-B37D820B3478}"/>
    <cellStyle name="Normal 13 5 2 2 2 2" xfId="299" xr:uid="{0771250D-CB72-4BDA-AE3C-68D031D473F1}"/>
    <cellStyle name="Normal 13 5 2 2 2 2 2" xfId="300" xr:uid="{C9C39145-B00A-424E-B343-1544DF0F11EF}"/>
    <cellStyle name="Normal 13 5 2 2 2 3" xfId="301" xr:uid="{EC914238-BDAE-4E22-B491-2EA08E220509}"/>
    <cellStyle name="Normal 13 5 2 2 2 3 2" xfId="302" xr:uid="{FEFB1445-D4CB-43BC-8BB2-B6AC45B61C58}"/>
    <cellStyle name="Normal 13 5 2 2 2 4" xfId="303" xr:uid="{5737F338-FF6F-4D71-A0EB-1ECA0B3B9EB7}"/>
    <cellStyle name="Normal 13 5 2 2 2 4 2" xfId="304" xr:uid="{1B2A0E6D-BF27-48D3-85A8-0D176BB288E5}"/>
    <cellStyle name="Normal 13 5 2 2 2 4 2 2" xfId="305" xr:uid="{DC47EC19-7B17-40F9-ACF8-B8098730A05A}"/>
    <cellStyle name="Normal 13 5 2 2 2 4 3" xfId="306" xr:uid="{231806BC-8B14-4BFE-8805-2ADF8A1DBA49}"/>
    <cellStyle name="Normal 13 5 2 2 2 5" xfId="307" xr:uid="{E6C2C9F0-CF7B-4D51-BDBC-084490BD7ACD}"/>
    <cellStyle name="Normal 13 6 2" xfId="308" xr:uid="{60045EEC-D5DA-4259-A9B8-3A2C7B195AF2}"/>
    <cellStyle name="Normal 13 6 2 2" xfId="309" xr:uid="{6977B17F-0B98-41A2-B06A-CB98A8EDA6BB}"/>
    <cellStyle name="Normal 13 6 2 2 2" xfId="310" xr:uid="{F9C287C3-08F4-4C8E-86E6-57A5B2C9CF72}"/>
    <cellStyle name="Normal 13 6 2 3" xfId="311" xr:uid="{64FEEF11-AA58-488D-BCEE-F85B5004FCA1}"/>
    <cellStyle name="Normal 13 6 2 3 2" xfId="312" xr:uid="{6607158A-D100-4E8A-B19B-195090D06293}"/>
    <cellStyle name="Normal 13 6 2 4" xfId="313" xr:uid="{233B99AA-212A-416A-8649-554BEE9458E2}"/>
    <cellStyle name="Normal 13_ANEXO A - Planilha de Quantidades e Preços Rev.9_290512 2" xfId="314" xr:uid="{3D500F91-00C3-4538-9BEE-747663EBFFE6}"/>
    <cellStyle name="Normal 131 2 2 2 2 2" xfId="315" xr:uid="{DFA473D2-A81A-4FB2-8F1B-2B6000845D2C}"/>
    <cellStyle name="Normal 131 2 2 2 2 2 2" xfId="316" xr:uid="{FFE6AC3A-8F9D-480B-9354-C066300605BC}"/>
    <cellStyle name="Normal 131 2 2 2 2 2 2 2" xfId="317" xr:uid="{328A36E3-DB7B-4851-93F5-FE363348C19A}"/>
    <cellStyle name="Normal 131 2 2 2 2 2 3" xfId="318" xr:uid="{DBF5CC92-A1EB-4FEF-A38B-533650490443}"/>
    <cellStyle name="Normal 131 2 2 2 2 2 3 2" xfId="319" xr:uid="{CBAA7F0B-59A0-4706-B985-CC32D0DE90EF}"/>
    <cellStyle name="Normal 131 2 2 2 2 2 4" xfId="320" xr:uid="{487A80CA-097C-486A-8BD6-368B1361DB60}"/>
    <cellStyle name="Normal 14" xfId="321" xr:uid="{E8C40DF2-60A5-49D6-96CD-C9D65E76D833}"/>
    <cellStyle name="Normal 15" xfId="322" xr:uid="{4054E4B6-B83E-4A0F-8DDC-CDA650D8CADA}"/>
    <cellStyle name="Normal 16" xfId="323" xr:uid="{51EDCB83-85FF-4A71-B5AD-C0BDD876C30C}"/>
    <cellStyle name="Normal 17" xfId="324" xr:uid="{611A90CC-1146-44C5-B340-36BBFDA98D47}"/>
    <cellStyle name="Normal 17 6" xfId="325" xr:uid="{A5443E7F-9BF8-42BA-9333-0218A9FAE943}"/>
    <cellStyle name="Normal 18" xfId="326" xr:uid="{C4AA0629-2CE7-45E4-85E5-3302A02A5B16}"/>
    <cellStyle name="Normal 183 2" xfId="327" xr:uid="{5406C210-3E9F-404C-A9BA-8612BE1EB634}"/>
    <cellStyle name="Normal 19" xfId="328" xr:uid="{15FF253A-85C5-4C33-93A0-63A9289F08B1}"/>
    <cellStyle name="Normal 2" xfId="329" xr:uid="{19285D7E-BBC8-4427-8B4C-0F29D3D8F0C2}"/>
    <cellStyle name="Normal 2 10" xfId="330" xr:uid="{74E0BC8F-C456-4620-B6A1-5C6FBA9427B0}"/>
    <cellStyle name="Normal 2 10 2 2" xfId="331" xr:uid="{AECDE0A1-8230-44F2-B9E5-C4536427F74D}"/>
    <cellStyle name="Normal 2 10 7" xfId="332" xr:uid="{FC692187-8DCF-4D5F-B8B2-E7B6AAE3672D}"/>
    <cellStyle name="Normal 2 2" xfId="333" xr:uid="{BBEC6E79-0549-4D23-BC42-616E16966AC2}"/>
    <cellStyle name="Normal 2 2 2" xfId="334" xr:uid="{7AE12AA0-F23C-48A6-BA0A-413154612E85}"/>
    <cellStyle name="Normal 2 2 2 2 10 2" xfId="335" xr:uid="{B8FC025B-88A5-42DA-8449-7C79CA8F53CD}"/>
    <cellStyle name="Normal 2 2 5" xfId="336" xr:uid="{5BCC0BF1-EC6E-48BB-847D-D95C53857A9B}"/>
    <cellStyle name="Normal 2 2 5 2" xfId="337" xr:uid="{410ABFE1-48C7-4FF7-9019-FCE9587D8AC4}"/>
    <cellStyle name="Normal 2 2_14 BM BCL" xfId="338" xr:uid="{F743700C-89CF-43D6-95AF-14214C34483F}"/>
    <cellStyle name="Normal 2 3" xfId="339" xr:uid="{D9FCDE44-2509-4874-85C2-FF50ADB6DF0A}"/>
    <cellStyle name="Normal 2 3 2" xfId="340" xr:uid="{71D91FBD-BCBF-4867-87DD-4C57BC566E67}"/>
    <cellStyle name="Normal 2 4" xfId="341" xr:uid="{C9179B77-B8F1-4FC4-981D-FE08F4973516}"/>
    <cellStyle name="Normal 2 96" xfId="342" xr:uid="{92265B7B-B140-4F82-9B88-DAC1405E29A5}"/>
    <cellStyle name="Normal 2_BM-004 REV00 MBR" xfId="343" xr:uid="{09C06D84-7C29-4311-81BD-CB0FC03032FC}"/>
    <cellStyle name="Normal 20" xfId="344" xr:uid="{24273747-988F-4576-BEBA-3CF57E0C838D}"/>
    <cellStyle name="Normal 21" xfId="345" xr:uid="{2587C4D0-3B47-46CC-815D-22DBD52E3AAD}"/>
    <cellStyle name="Normal 22" xfId="346" xr:uid="{67E89DE8-18E2-4149-8E56-D56A9E0ACC90}"/>
    <cellStyle name="Normal 23" xfId="347" xr:uid="{492CBAF7-2E24-4F34-8C5A-CABFA4DF35C5}"/>
    <cellStyle name="Normal 24" xfId="348" xr:uid="{49CC3928-AB98-4508-AC34-6190BF5C4985}"/>
    <cellStyle name="Normal 25" xfId="349" xr:uid="{6C4AAEFE-B80D-410C-B8BA-A2B97EB827E4}"/>
    <cellStyle name="Normal 26" xfId="350" xr:uid="{C8B5BD4E-F89A-434F-A49E-11A5510422EB}"/>
    <cellStyle name="Normal 27" xfId="351" xr:uid="{0C286109-716F-442D-A63C-12A239CBC423}"/>
    <cellStyle name="Normal 28" xfId="352" xr:uid="{9B2A67E4-6ED1-4F7C-A81F-21D5CFE4C57E}"/>
    <cellStyle name="Normal 281" xfId="353" xr:uid="{4F39C195-29B1-4E0E-9A9F-DA6C32AC1C03}"/>
    <cellStyle name="Normal 29" xfId="354" xr:uid="{F962E492-B8BE-4758-AE3A-92EB3598B14C}"/>
    <cellStyle name="Normal 3" xfId="355" xr:uid="{DE34FA52-B83A-4534-876E-51B808A840D0}"/>
    <cellStyle name="Normal 3 10" xfId="356" xr:uid="{AF5775E0-2AEE-4492-B4B5-BF81B7357CEF}"/>
    <cellStyle name="Normal 3 10 2 2 2" xfId="357" xr:uid="{89CE23D9-29EA-42A1-8470-899824647B00}"/>
    <cellStyle name="Normal 3 2" xfId="358" xr:uid="{CA3B7DA1-0AB4-4A6B-B573-8BFF9C83D98E}"/>
    <cellStyle name="Normal 3 2 2" xfId="359" xr:uid="{0492FEF4-0159-4075-935F-6CC1A7989A85}"/>
    <cellStyle name="Normal 3 2 2 2" xfId="360" xr:uid="{54F8DDD1-422C-4C3E-8C55-C722AC9A8B09}"/>
    <cellStyle name="Normal 3 2 3" xfId="361" xr:uid="{5870F834-F1E6-4BD9-916D-9A13C40FA327}"/>
    <cellStyle name="Normal 3 2 3 10" xfId="362" xr:uid="{A412ED39-C9A8-44E9-B361-271DBBE2A468}"/>
    <cellStyle name="Normal 3 2 3 2" xfId="363" xr:uid="{A16BFF99-AB1C-4C48-B36E-378E617C1767}"/>
    <cellStyle name="Normal 3 2 3 2 2 2" xfId="364" xr:uid="{7ED346F7-854D-47AF-9515-05DC89A0CFBA}"/>
    <cellStyle name="Normal 3 2 3 4" xfId="365" xr:uid="{47D1FA69-53FE-4181-98B0-095E4B8F728F}"/>
    <cellStyle name="Normal 3 2 4" xfId="366" xr:uid="{BC64622D-FC9D-44B8-AB3E-4D358D93AE80}"/>
    <cellStyle name="Normal 3 3" xfId="367" xr:uid="{43023E86-78C9-496F-B919-CCAE23380822}"/>
    <cellStyle name="Normal 3 3 2" xfId="368" xr:uid="{CF46A705-69D5-457D-8071-1C1A44949C9C}"/>
    <cellStyle name="Normal 3 4" xfId="369" xr:uid="{A3461CC9-926D-452D-B9F5-048629546BD4}"/>
    <cellStyle name="Normal 3 4 2" xfId="370" xr:uid="{74083C53-3DC5-4306-B34A-25F3708B2C83}"/>
    <cellStyle name="Normal 3 5" xfId="371" xr:uid="{D43422BF-5310-454A-AE7A-E59DEF389871}"/>
    <cellStyle name="Normal 3 5 2" xfId="372" xr:uid="{A4037D33-A808-4E00-8646-6446A01C8C66}"/>
    <cellStyle name="Normal 3 6" xfId="373" xr:uid="{FB512F45-8048-43E5-B4A8-576869A86AA0}"/>
    <cellStyle name="Normal 3 7" xfId="374" xr:uid="{598BEEBB-66A7-4C50-B1E3-CC934AA91046}"/>
    <cellStyle name="Normal 3 8" xfId="375" xr:uid="{03FDFC2D-79C7-4BD8-BCED-421E78D6C2F9}"/>
    <cellStyle name="Normal 3_03 BMM-1945711-Jan12" xfId="376" xr:uid="{2614A6D8-0DDB-425D-9718-39F949D410C3}"/>
    <cellStyle name="Normal 30" xfId="377" xr:uid="{0221EF13-CCEB-45D9-B261-5E245FF09671}"/>
    <cellStyle name="Normal 31" xfId="378" xr:uid="{CEAA61CB-A693-4CB6-8437-3FB1D51F3996}"/>
    <cellStyle name="Normal 32" xfId="379" xr:uid="{AF97E67E-FC52-4A81-9EB4-A308FB95A9CB}"/>
    <cellStyle name="Normal 33" xfId="380" xr:uid="{09D1DCFF-B5EB-4469-988C-9E4182ACB911}"/>
    <cellStyle name="Normal 34" xfId="381" xr:uid="{5C84FBE5-E35F-4892-A696-D384F67EC9B5}"/>
    <cellStyle name="Normal 35" xfId="382" xr:uid="{F6F994CE-0C37-4974-9F8D-0709AF7168A7}"/>
    <cellStyle name="Normal 36" xfId="383" xr:uid="{05774CEE-E0A8-46D1-813C-EB1EB21F7EC4}"/>
    <cellStyle name="Normal 37" xfId="384" xr:uid="{FCFD3676-21C8-4552-8CEF-38DCE0F0E4A4}"/>
    <cellStyle name="Normal 38" xfId="385" xr:uid="{E2E18EFD-63B0-438C-840D-7F16FDC8F46E}"/>
    <cellStyle name="Normal 4" xfId="386" xr:uid="{4D24D3E8-5D46-4241-8351-B5B044799676}"/>
    <cellStyle name="Normal 4 10" xfId="387" xr:uid="{310C5126-6493-4B23-B973-70EC195A4C0B}"/>
    <cellStyle name="Normal 4 2" xfId="388" xr:uid="{B6CDBE45-F65B-4184-8E73-AFDF42E5EDF5}"/>
    <cellStyle name="Normal 4 2 2" xfId="389" xr:uid="{BBE65BD8-B075-467A-A84A-97D487967413}"/>
    <cellStyle name="Normal 4 3" xfId="390" xr:uid="{E9B87929-F2CD-4C48-A6D8-FF020A36A582}"/>
    <cellStyle name="Normal 4 4" xfId="391" xr:uid="{34EB5297-84B7-4D8E-B1CC-28063DDD688D}"/>
    <cellStyle name="Normal 4_BM 22 Ago-13 Apia" xfId="392" xr:uid="{E00A0DC0-209D-4D4B-A219-43C0B910D02C}"/>
    <cellStyle name="Normal 40 2" xfId="393" xr:uid="{0E679CDD-8DB7-4ACD-B909-52992FF3875E}"/>
    <cellStyle name="Normal 41" xfId="394" xr:uid="{7C725B77-A029-47DD-B5D7-0935B2122557}"/>
    <cellStyle name="Normal 5" xfId="395" xr:uid="{39EFA7E4-02AB-41EF-9982-AF967CCC3805}"/>
    <cellStyle name="Normal 5 10" xfId="396" xr:uid="{7B2FB2F4-FB0C-4436-ABA4-0584711773A5}"/>
    <cellStyle name="Normal 5 10 2" xfId="397" xr:uid="{6159E42E-340F-4648-96B3-C32FFC9D6DE5}"/>
    <cellStyle name="Normal 5 10 2 2" xfId="398" xr:uid="{9DCEFB31-F94F-4D15-B8F1-F4B729ADB8F6}"/>
    <cellStyle name="Normal 5 10 3" xfId="399" xr:uid="{BA8976B2-A293-441C-A7E9-F74E0B35BD26}"/>
    <cellStyle name="Normal 5 2" xfId="400" xr:uid="{CF656D35-DE9C-47F1-9A0B-1E7F57CA562A}"/>
    <cellStyle name="Normal 5 2 2" xfId="401" xr:uid="{0D883F70-3C82-46F5-924C-165AA11EE792}"/>
    <cellStyle name="Normal 5 2 3" xfId="402" xr:uid="{AE8D0DD8-B5BB-4F55-991A-6ED694911EA2}"/>
    <cellStyle name="Normal 5 3" xfId="403" xr:uid="{5345DEBA-81D8-46A7-B44D-54B17E723A10}"/>
    <cellStyle name="Normal 5 5 2" xfId="404" xr:uid="{6C79E2F3-8213-42C9-91B1-344E5FB90361}"/>
    <cellStyle name="Normal 5_2º BM - MARÇO 2013" xfId="405" xr:uid="{E478CB52-A44C-4164-9863-D9AE2AB56457}"/>
    <cellStyle name="Normal 6" xfId="406" xr:uid="{D65FE0A2-9277-449B-A3B1-B89EDFF32803}"/>
    <cellStyle name="Normal 6 2" xfId="407" xr:uid="{4EB63B11-3C30-4FE1-8BAD-8D0DD8011C0E}"/>
    <cellStyle name="Normal 6 3" xfId="408" xr:uid="{97E9D109-CEF1-4F7B-9145-7DC443A69F1F}"/>
    <cellStyle name="Normal 68" xfId="409" xr:uid="{59AE960C-7FCD-41B6-82F8-7C61037BF367}"/>
    <cellStyle name="Normal 7" xfId="410" xr:uid="{995C2E92-E2B1-4201-8F26-81739126BBC2}"/>
    <cellStyle name="Normal 7 2" xfId="411" xr:uid="{CAF3B7C8-A5D3-480C-A410-C92E26BE75DD}"/>
    <cellStyle name="Normal 7 3" xfId="412" xr:uid="{FED71FED-8AA7-4BA6-A292-0BB9FABC2290}"/>
    <cellStyle name="Normal 7 3 2" xfId="413" xr:uid="{2AFA0050-6089-45FC-B74D-A89DFAE06D9E}"/>
    <cellStyle name="Normal 7 3 2 2" xfId="414" xr:uid="{FA01B113-DECF-46EB-BA18-6C0A75BFD217}"/>
    <cellStyle name="Normal 7 3 3" xfId="415" xr:uid="{2A6479A6-B243-44CD-A605-A1E1F662EDA0}"/>
    <cellStyle name="Normal 8" xfId="416" xr:uid="{7B973257-16DB-468E-8640-6C83345E57DB}"/>
    <cellStyle name="Normal 8 2" xfId="417" xr:uid="{DF2C0F7A-9C9C-4D27-A9A7-51C323E6F2F9}"/>
    <cellStyle name="Normal 8 2 2" xfId="418" xr:uid="{76CC93AF-6E9F-4107-8B77-9D7B564F8396}"/>
    <cellStyle name="Normal 8 2 2 2" xfId="419" xr:uid="{62D48A41-BEA8-4F21-9FFC-C56AEA15FFED}"/>
    <cellStyle name="Normal 8 2 3" xfId="420" xr:uid="{3E5B7A6C-E84F-4BAE-9E46-0C36070EAB49}"/>
    <cellStyle name="Normal 8 2 4" xfId="421" xr:uid="{4A75815A-1A73-495B-A4A3-24381C2FA190}"/>
    <cellStyle name="Normal 8 3" xfId="422" xr:uid="{FB8DB3EC-D01D-4C91-B3A3-2A915E45F1B6}"/>
    <cellStyle name="Normal 8 3 2" xfId="423" xr:uid="{2C654AEF-83AE-4FA1-9DF3-EEDE4F18C0AF}"/>
    <cellStyle name="Normal 8 4" xfId="424" xr:uid="{C9E5366E-C543-46F2-AE05-6F588B6D86A1}"/>
    <cellStyle name="Normal 9" xfId="425" xr:uid="{68EB6E1E-6005-4815-9111-E2EE1317AB6C}"/>
    <cellStyle name="Normal 9 2" xfId="426" xr:uid="{7975BED0-B60B-4B56-BDBF-966F2997A414}"/>
    <cellStyle name="Normal 9 2 2" xfId="427" xr:uid="{08CED2CC-72B6-49FB-B0E0-7C8B978CD9CA}"/>
    <cellStyle name="Normal 9 3" xfId="428" xr:uid="{B73A67B6-F4C7-4FCD-967F-B5C4FB3F2D5F}"/>
    <cellStyle name="Normal 9 3 2" xfId="429" xr:uid="{10C9F6EE-16C3-40E0-9DC8-037E07ED4DAC}"/>
    <cellStyle name="Normal 9 3 3" xfId="430" xr:uid="{8796983B-C45A-4D67-8601-A65046432001}"/>
    <cellStyle name="Normal 9 4" xfId="431" xr:uid="{F189126E-8113-4DF5-9C02-C86E421F0BD8}"/>
    <cellStyle name="Normal 96" xfId="432" xr:uid="{EA889868-EC65-4FE6-833E-6B85E747F95D}"/>
    <cellStyle name="Normal 96 3" xfId="433" xr:uid="{744CBB71-DE7D-4FC3-AEEE-9CEE1C022007}"/>
    <cellStyle name="Nota 2" xfId="434" xr:uid="{417D470B-587F-4349-8F01-B2965B961A77}"/>
    <cellStyle name="Nota 2 2" xfId="435" xr:uid="{F427726E-440D-467C-97A6-9E3866CBE012}"/>
    <cellStyle name="Nota 3" xfId="436" xr:uid="{9E564367-7C36-43AF-A25A-EE332D4A8FD2}"/>
    <cellStyle name="Nota 3 2" xfId="437" xr:uid="{AE760888-D2BD-454F-90DB-D98E8AFAA260}"/>
    <cellStyle name="Note" xfId="438" xr:uid="{346A82E7-6859-44C7-BF43-19D5D62836C6}"/>
    <cellStyle name="Note 2" xfId="439" xr:uid="{7D3F6359-D7AF-48D2-B457-B50B14C51898}"/>
    <cellStyle name="Note 2 2" xfId="440" xr:uid="{96E18820-9E86-42A6-BF8A-02A015D09F6B}"/>
    <cellStyle name="Note 3" xfId="441" xr:uid="{101CD6C8-9B8E-4A9A-92F4-87AE8462C827}"/>
    <cellStyle name="NUMEROS" xfId="442" xr:uid="{33DEFEB1-7997-4289-85EA-46E594D20BB0}"/>
    <cellStyle name="Output" xfId="443" xr:uid="{2A51427D-6CB1-4B96-BC93-B4B34F0128DC}"/>
    <cellStyle name="Output 2" xfId="444" xr:uid="{73B668B0-5370-4BAD-936A-3A521ABA5E57}"/>
    <cellStyle name="Percentagem 2" xfId="445" xr:uid="{FB8821FE-9400-40A0-B0E8-2710141EA056}"/>
    <cellStyle name="Percentagem 2 2" xfId="446" xr:uid="{54FD0AE7-3BE8-484F-8E4D-81CCE4E1FFF0}"/>
    <cellStyle name="Percentual" xfId="447" xr:uid="{35424C99-16D5-4328-9490-AC05FE7D24B9}"/>
    <cellStyle name="Percentual 2" xfId="448" xr:uid="{7D033D71-DD19-40D7-8587-2735EC0DF23E}"/>
    <cellStyle name="planilhas" xfId="449" xr:uid="{D99BF482-932E-4BFE-8B0B-9DE822D64F79}"/>
    <cellStyle name="Ponto" xfId="450" xr:uid="{A1371A00-D612-4603-A4E6-68C379E2ECE9}"/>
    <cellStyle name="Ponto 2" xfId="451" xr:uid="{D18E29FD-A2AD-4F70-B71F-8A4FA7204CFE}"/>
    <cellStyle name="Porcentagem 10" xfId="452" xr:uid="{14DB60A5-3902-4BD5-BA27-FE301F06A7EE}"/>
    <cellStyle name="Porcentagem 2" xfId="453" xr:uid="{8CBC8275-AA3D-40BA-81A7-B31E76A4E361}"/>
    <cellStyle name="Porcentagem 2 2" xfId="454" xr:uid="{035F3D68-B4B0-4187-B68A-CE6C55936329}"/>
    <cellStyle name="Porcentagem 2 2 2" xfId="455" xr:uid="{4DEC972B-DEE0-4E34-8098-37CFCF761340}"/>
    <cellStyle name="Porcentagem 2 3" xfId="456" xr:uid="{DAF34AC0-50D6-4BAC-ACB1-BA36CC778FC2}"/>
    <cellStyle name="Porcentagem 3" xfId="457" xr:uid="{6BB924B9-75FF-47DA-9B15-C7AF789FEB2A}"/>
    <cellStyle name="Porcentagem 3 2" xfId="458" xr:uid="{021928DF-3753-4D40-A9BC-0B755A9AB9FC}"/>
    <cellStyle name="Porcentagem 3 2 2" xfId="459" xr:uid="{7CD48F55-5F0E-4DE8-8922-39563CC18E93}"/>
    <cellStyle name="Porcentagem 3 3" xfId="460" xr:uid="{D75B57E2-5933-49D3-A151-B55E6275E3BC}"/>
    <cellStyle name="Porcentagem 4" xfId="461" xr:uid="{4524432D-B9A6-4B07-B7E6-7AF170024AA2}"/>
    <cellStyle name="Porcentagem 4 2" xfId="462" xr:uid="{177D9EA0-2534-4927-9B24-2ADBAB983265}"/>
    <cellStyle name="Porcentagem 4 3" xfId="463" xr:uid="{6E2CD157-1EA2-4CDE-A093-2BDE23B450FB}"/>
    <cellStyle name="Porcentagem 5" xfId="464" xr:uid="{98C97BDD-305D-494B-996E-3C1F3DA13779}"/>
    <cellStyle name="Porcentagem 5 2" xfId="465" xr:uid="{17E03B2F-252A-4456-9FAB-C079649098E3}"/>
    <cellStyle name="Porcentagem 6" xfId="466" xr:uid="{8F4C976B-92A0-4914-8A7B-EB07CF867CB2}"/>
    <cellStyle name="Porcentagem 7" xfId="467" xr:uid="{E3559444-BA0D-4D58-9925-F7AA530E3A88}"/>
    <cellStyle name="Ruim 2" xfId="468" xr:uid="{B3A25C1A-D50F-4851-A65F-C24FC8264309}"/>
    <cellStyle name="Saída 2" xfId="469" xr:uid="{DAB7668A-72D4-4875-A360-841823349245}"/>
    <cellStyle name="Saída 2 2" xfId="470" xr:uid="{2480EC82-9957-4B9D-8CBA-E7CBE0416A7E}"/>
    <cellStyle name="Saída 3" xfId="471" xr:uid="{1DCF7BB8-4F58-4E39-8719-6F2137BD7D9D}"/>
    <cellStyle name="Saída 3 2" xfId="472" xr:uid="{73850F7E-C302-4C32-8DFD-D9285352250F}"/>
    <cellStyle name="Separador de m" xfId="473" xr:uid="{3C868E1A-E29A-4454-A5F6-09BE2754EE5E}"/>
    <cellStyle name="Separador de milhares 10" xfId="474" xr:uid="{3CA55823-3128-4404-BC8F-972282D98ECE}"/>
    <cellStyle name="Separador de milhares 10 10" xfId="475" xr:uid="{6EC9DB79-5478-4096-85B0-631B71238159}"/>
    <cellStyle name="Separador de milhares 10 10 2" xfId="476" xr:uid="{1F4E1DC8-FD78-483B-8ACA-541C2E62FAED}"/>
    <cellStyle name="Separador de milhares 10 10 2 2" xfId="477" xr:uid="{310925AB-7002-4D94-9BDF-875108E6E89A}"/>
    <cellStyle name="Separador de milhares 10 10 3" xfId="478" xr:uid="{5FDD5133-7E51-48E3-B72B-7778683044D5}"/>
    <cellStyle name="Separador de milhares 10 10 4" xfId="479" xr:uid="{588255B5-6F44-4A63-B23B-43B5B40FC86E}"/>
    <cellStyle name="Separador de milhares 10 10 5" xfId="480" xr:uid="{ECB329D3-8199-42CE-AC8F-8CD8C9252C81}"/>
    <cellStyle name="Separador de milhares 11" xfId="481" xr:uid="{B3D5AB26-D9C1-44BF-806F-52D3BA06A6CB}"/>
    <cellStyle name="Separador de milhares 11 2" xfId="482" xr:uid="{3EA5D804-8D0B-4621-B6F7-6382FEDDF70C}"/>
    <cellStyle name="Separador de milhares 11 2 2" xfId="483" xr:uid="{EBFB91D2-0F6E-4A0A-9CE0-9C8B599FF043}"/>
    <cellStyle name="Separador de milhares 11 2 2 2" xfId="484" xr:uid="{27FAFFCB-C584-48CD-983E-AC6F9ED35086}"/>
    <cellStyle name="Separador de milhares 11 2 3" xfId="485" xr:uid="{13165B6D-06B8-4EC3-97E4-1D0D96F6DD4D}"/>
    <cellStyle name="Separador de milhares 11 2 4" xfId="486" xr:uid="{B234D44E-5DB4-40CB-8C13-6FC33D45BC3B}"/>
    <cellStyle name="Separador de milhares 2" xfId="487" xr:uid="{288345D8-5650-4A84-BD55-EB708834920E}"/>
    <cellStyle name="Separador de milhares 2 2" xfId="488" xr:uid="{35D2D0D4-EEC0-4D1E-BE49-09D4CC0FB781}"/>
    <cellStyle name="Separador de milhares 2 2 2" xfId="489" xr:uid="{4269CC70-E570-44E4-B13F-77BF44ADDE73}"/>
    <cellStyle name="Separador de milhares 2 2 2 2" xfId="490" xr:uid="{2E61AB31-0E2A-4050-ABEB-EA6932CDF69F}"/>
    <cellStyle name="Separador de milhares 2 2 2 2 2" xfId="491" xr:uid="{221C5C19-7FB0-4CAD-A779-B50F27F9283A}"/>
    <cellStyle name="Separador de milhares 2 2 2 2 3" xfId="492" xr:uid="{09FF3E00-D34B-4A58-8301-10472E5E1E5C}"/>
    <cellStyle name="Separador de milhares 2 2 2 2 4" xfId="493" xr:uid="{882EC6E7-639F-489D-B440-FCFD4816DBCA}"/>
    <cellStyle name="Separador de milhares 2 2 2 3" xfId="494" xr:uid="{23307936-F5C3-424D-8EA3-B77A1941FE1D}"/>
    <cellStyle name="Separador de milhares 2 2 2 4" xfId="495" xr:uid="{D1E7C9DF-6F68-4480-9826-8886344FE706}"/>
    <cellStyle name="Separador de milhares 2 2 2 5" xfId="496" xr:uid="{48676EB0-1D02-4BAA-B189-93D8A4608DE7}"/>
    <cellStyle name="Separador de milhares 2 2 2 6" xfId="497" xr:uid="{DD05A802-D7EC-496B-8B93-3E5352E56398}"/>
    <cellStyle name="Separador de milhares 2 2 3" xfId="498" xr:uid="{98C59C93-05F4-4F2C-B104-1AF5687A0AB0}"/>
    <cellStyle name="Separador de milhares 2 2 3 2" xfId="499" xr:uid="{B063546A-13CB-457D-BEA4-A136CFC6C321}"/>
    <cellStyle name="Separador de milhares 2 2 4" xfId="500" xr:uid="{AEF41638-4554-4A80-BFE7-4FBEF261E8B4}"/>
    <cellStyle name="Separador de milhares 2 2 4 2" xfId="501" xr:uid="{29EA34EB-2B78-408E-834D-4495FD6ECE84}"/>
    <cellStyle name="Separador de milhares 2 2 5" xfId="502" xr:uid="{8B368555-4A7D-486E-B7D9-8610D2D8762C}"/>
    <cellStyle name="Separador de milhares 2 2 58" xfId="503" xr:uid="{FC64DEC4-4087-4BFC-B1F1-FD5BE9456BF1}"/>
    <cellStyle name="Separador de milhares 2 2 58 2" xfId="504" xr:uid="{5470F92E-D7C0-4BBF-8F02-B2B6738C4926}"/>
    <cellStyle name="Separador de milhares 2 2 58 2 2" xfId="505" xr:uid="{116009D5-4B71-4195-8B21-5C070E0739D7}"/>
    <cellStyle name="Separador de milhares 2 2 58 3" xfId="506" xr:uid="{CCD8ED64-03D9-43FC-90AC-DB2CFDDD1E3D}"/>
    <cellStyle name="Separador de milhares 2 2 58 4" xfId="507" xr:uid="{F5D029A0-DF5D-4EBF-B8F5-7BCD2DDC63BA}"/>
    <cellStyle name="Separador de milhares 2 3" xfId="508" xr:uid="{29638F07-87DF-410A-B1DE-40EEF376EEF1}"/>
    <cellStyle name="Separador de milhares 2 3 2" xfId="509" xr:uid="{A12939EC-5C93-4E5E-A225-5C181335D803}"/>
    <cellStyle name="Separador de milhares 2 3 2 2" xfId="510" xr:uid="{98FCA222-CC88-4EF3-8D49-AC5235E6FB4F}"/>
    <cellStyle name="Separador de milhares 2 3 2 2 2" xfId="511" xr:uid="{CA304B79-8254-4666-8622-86B31F3DA929}"/>
    <cellStyle name="Separador de milhares 2 3 2 2 3" xfId="512" xr:uid="{1712A9DE-1DA5-4F83-B829-D625213350A2}"/>
    <cellStyle name="Separador de milhares 2 3 2 3" xfId="513" xr:uid="{ABB4700D-5D1E-4BD3-941E-B8315FB6AD72}"/>
    <cellStyle name="Separador de milhares 2 3 2 4" xfId="514" xr:uid="{7520FB2B-FABF-4F40-9DD1-B2172831F6E5}"/>
    <cellStyle name="Separador de milhares 2 3 2 5" xfId="515" xr:uid="{99EB657A-D7AE-43F7-ACD1-1946814877E4}"/>
    <cellStyle name="Separador de milhares 2 3 3" xfId="516" xr:uid="{CC95157C-1013-48ED-9AC2-2F3F63FFDAAA}"/>
    <cellStyle name="Separador de milhares 2 3 4" xfId="517" xr:uid="{4AC0ED63-37E4-4830-8D08-A485143534E8}"/>
    <cellStyle name="Separador de milhares 2 4" xfId="518" xr:uid="{3CF71606-C5D7-4759-82A7-0A91E8516B6E}"/>
    <cellStyle name="Separador de milhares 2 4 2" xfId="519" xr:uid="{670E4964-ADEE-44E2-A249-387EE5F3D8F8}"/>
    <cellStyle name="Separador de milhares 2 4 2 2" xfId="520" xr:uid="{A383898A-6DA5-44A6-8500-047DE276001A}"/>
    <cellStyle name="Separador de milhares 2 4 2 3" xfId="521" xr:uid="{F4518A5A-C82B-4E62-A5B7-FF9804BD0C8E}"/>
    <cellStyle name="Separador de milhares 2 4 2 4" xfId="522" xr:uid="{4C85B02C-DBFF-48F9-BB63-69828C1A07BF}"/>
    <cellStyle name="Separador de milhares 2 4 3" xfId="523" xr:uid="{FD30B9B1-7888-47E0-8DD9-8493D1BAF999}"/>
    <cellStyle name="Separador de milhares 2 4 4" xfId="524" xr:uid="{ADEBD04A-C29D-430B-8B1C-560D0307940F}"/>
    <cellStyle name="Separador de milhares 2 4 5" xfId="525" xr:uid="{3B3EE187-EE14-43DA-A7EA-78D4E682292B}"/>
    <cellStyle name="Separador de milhares 2 4 6" xfId="526" xr:uid="{A84B9382-59DD-4517-B469-876E98E44E09}"/>
    <cellStyle name="Separador de milhares 2 5" xfId="527" xr:uid="{9876D02F-5D28-4F4D-8C70-5EF75EEEF8BF}"/>
    <cellStyle name="Separador de milhares 2 5 2" xfId="528" xr:uid="{1BD0BA8C-0EAC-41D4-BFB8-873671633E6B}"/>
    <cellStyle name="Separador de milhares 2 5 2 2" xfId="529" xr:uid="{6C5C5536-AE1A-445D-ADFB-FA323D3169A0}"/>
    <cellStyle name="Separador de milhares 2 5 3" xfId="530" xr:uid="{9D3B3C77-B28C-4EDA-8942-93228395F784}"/>
    <cellStyle name="Separador de milhares 2 6" xfId="531" xr:uid="{BFBC1383-DBCA-4D70-9E9F-664CA9B7F721}"/>
    <cellStyle name="Separador de milhares 2 6 2" xfId="532" xr:uid="{AFD262A5-76A3-436E-8810-AE7880BB29B6}"/>
    <cellStyle name="Separador de milhares 2 7" xfId="533" xr:uid="{5F2398F8-D7D8-4F3F-A5CB-FCDA27CA183F}"/>
    <cellStyle name="Separador de milhares 2 7 2" xfId="534" xr:uid="{EEFE53A0-E79F-4D77-8287-74DE988DEA32}"/>
    <cellStyle name="Separador de milhares 2_Cópia de CONTROLE MEDIÇÕES" xfId="535" xr:uid="{5D139189-2F6C-481A-953F-2A0EB26E66F9}"/>
    <cellStyle name="Separador de milhares 3" xfId="536" xr:uid="{0C773048-9658-49D4-910D-2E1813C9244B}"/>
    <cellStyle name="Separador de milhares 3 2" xfId="537" xr:uid="{EA35995D-59C5-4C52-B456-A34DF7AA9C4B}"/>
    <cellStyle name="Separador de milhares 3 2 2" xfId="538" xr:uid="{B7F6008A-105A-493B-B359-92C6B7522C44}"/>
    <cellStyle name="Separador de milhares 3 2 2 2" xfId="539" xr:uid="{E4FFD653-745D-43B0-9491-A11D3C90D469}"/>
    <cellStyle name="Separador de milhares 3 2 2 3" xfId="540" xr:uid="{92924D9A-8CC5-4AF0-8D92-CE0E8DFC1A6F}"/>
    <cellStyle name="Separador de milhares 3 2 2 4" xfId="541" xr:uid="{6A542BE8-0B90-448F-AD81-384373746FC0}"/>
    <cellStyle name="Separador de milhares 3 2 3" xfId="542" xr:uid="{F8386EB5-69E2-4ACB-897B-A4E322ABDDC2}"/>
    <cellStyle name="Separador de milhares 3 2 4" xfId="543" xr:uid="{BBF7DC5D-A28B-481C-8FD0-810DFEA495BB}"/>
    <cellStyle name="Separador de milhares 3 2 5" xfId="544" xr:uid="{8D26C051-F40E-4DEC-AC11-3A028F17F9F5}"/>
    <cellStyle name="Separador de milhares 3 2 6" xfId="545" xr:uid="{C675AD56-46B9-421B-AB21-EBF3D006F15D}"/>
    <cellStyle name="Separador de milhares 3 3" xfId="546" xr:uid="{B113E8D6-B1FA-47EB-8174-54C78773B61F}"/>
    <cellStyle name="Separador de milhares 3 3 2" xfId="547" xr:uid="{6BE789A8-872C-4D3F-90BD-F3B82897CFBB}"/>
    <cellStyle name="Separador de milhares 3 4" xfId="548" xr:uid="{E49B9BEB-8B00-46EE-862C-E39DB03AFE6C}"/>
    <cellStyle name="Separador de milhares 3 4 2" xfId="549" xr:uid="{F18D8225-2AC4-41A3-BE8C-FD4F15DC2E6D}"/>
    <cellStyle name="Separador de milhares 3 5" xfId="550" xr:uid="{B2A1AEE9-7391-4C1D-A22C-6439A8CE0DDF}"/>
    <cellStyle name="Separador de milhares 4" xfId="551" xr:uid="{5F2F8127-3B96-4C3B-9FF3-67C7F2B02A8D}"/>
    <cellStyle name="Separador de milhares 4 2" xfId="552" xr:uid="{BE0CD05D-3735-4531-880A-DD4C04E9A20C}"/>
    <cellStyle name="Separador de milhares 4 2 2" xfId="553" xr:uid="{B1A27A8D-30F1-46C5-B963-997370060F52}"/>
    <cellStyle name="Separador de milhares 4 2 2 2" xfId="554" xr:uid="{7905F890-9110-41C2-B001-B105E2E0ADF1}"/>
    <cellStyle name="Separador de milhares 4 2 2 2 2" xfId="555" xr:uid="{72D74ECD-0586-46A5-B75E-426585195889}"/>
    <cellStyle name="Separador de milhares 4 2 2 2 3" xfId="556" xr:uid="{90CECB26-470E-4B5B-93D0-B5F15C593B5C}"/>
    <cellStyle name="Separador de milhares 4 2 2 2 4" xfId="557" xr:uid="{31C1F46F-464B-4A75-93A0-208F63BD618B}"/>
    <cellStyle name="Separador de milhares 4 2 2 3" xfId="558" xr:uid="{D5613B9D-024C-4C0C-BA1E-6B7A0B4D2BF5}"/>
    <cellStyle name="Separador de milhares 4 2 2 4" xfId="559" xr:uid="{A1C81454-9A53-4289-9C29-92C762A0EB85}"/>
    <cellStyle name="Separador de milhares 4 2 2 5" xfId="560" xr:uid="{1DA09636-7411-4434-AB8D-35A5058A8A33}"/>
    <cellStyle name="Separador de milhares 4 2 2 6" xfId="561" xr:uid="{F6978AC4-7EA5-4294-A8E1-223AE8D2A0FD}"/>
    <cellStyle name="Separador de milhares 4 2 3" xfId="562" xr:uid="{03123CE4-8EF4-4078-957C-A45DDA7BAB07}"/>
    <cellStyle name="Separador de milhares 4 2 3 2" xfId="563" xr:uid="{FBF18BAF-420F-4C5E-84AB-ABBE6F582C09}"/>
    <cellStyle name="Separador de milhares 4 2 4" xfId="564" xr:uid="{199A1F85-65F5-47DB-8AB2-F8A51CA0AD6D}"/>
    <cellStyle name="Separador de milhares 4 2 5" xfId="565" xr:uid="{9877B70B-1572-4556-837A-3FD2737D6582}"/>
    <cellStyle name="Separador de milhares 4 3" xfId="566" xr:uid="{420783AB-859E-4B04-ADDC-CCAE114713F5}"/>
    <cellStyle name="Separador de milhares 4 3 2" xfId="567" xr:uid="{058683E5-6008-4E40-A52A-4968D562845B}"/>
    <cellStyle name="Separador de milhares 4 3 2 2" xfId="568" xr:uid="{3E5A33CD-0B36-445B-BE22-760D5E5F72B7}"/>
    <cellStyle name="Separador de milhares 4 3 2 3" xfId="569" xr:uid="{93A1E902-9B7A-4814-9C91-D72226670575}"/>
    <cellStyle name="Separador de milhares 4 3 2 4" xfId="570" xr:uid="{4BD1C6A0-C36A-44BF-AEDC-92A140409429}"/>
    <cellStyle name="Separador de milhares 4 3 3" xfId="571" xr:uid="{FE9C17BA-71CD-4439-9900-887BE6DD4BD7}"/>
    <cellStyle name="Separador de milhares 4 3 4" xfId="572" xr:uid="{2D16E8E5-1368-405F-A423-05F93106867A}"/>
    <cellStyle name="Separador de milhares 4 3 5" xfId="573" xr:uid="{641E12AD-0968-4EF8-9BAA-4F769D082AD7}"/>
    <cellStyle name="Separador de milhares 4 3 6" xfId="574" xr:uid="{C06CFDB2-1DCB-49FD-A519-8168C87790FC}"/>
    <cellStyle name="Separador de milhares 4 4" xfId="575" xr:uid="{D3CF18E0-9963-4157-9879-4AEC8D291339}"/>
    <cellStyle name="Separador de milhares 4 4 2" xfId="576" xr:uid="{B1E1BD4F-5C68-43E8-A4E9-4F7B54C57A2C}"/>
    <cellStyle name="Separador de milhares 4 5" xfId="577" xr:uid="{E540790A-88F1-4620-B879-970D07EC09F7}"/>
    <cellStyle name="Separador de milhares 4 5 2" xfId="578" xr:uid="{14598692-8237-4DED-B57B-6A989B69EAFD}"/>
    <cellStyle name="Separador de milhares 4 5 2 2" xfId="579" xr:uid="{5D48FD1B-CA97-4D13-88E6-6986B1B0ED06}"/>
    <cellStyle name="Separador de milhares 4 5 2 2 2" xfId="580" xr:uid="{611141EE-5A2C-4408-A686-FCE5CF5804F1}"/>
    <cellStyle name="Separador de milhares 4 5 2 3" xfId="581" xr:uid="{A2305CF4-755F-4D43-B645-863AF108CD9A}"/>
    <cellStyle name="Separador de milhares 4 5 2 4" xfId="582" xr:uid="{6BEABD24-BFB8-44D9-89C1-06105F361D52}"/>
    <cellStyle name="Separador de milhares 4 6" xfId="583" xr:uid="{BBECFD5A-B31C-4181-A9D1-96FC9FEDA1B5}"/>
    <cellStyle name="Separador de milhares 4 7" xfId="584" xr:uid="{04F56B3F-A363-4454-AAC1-47CE61CF724B}"/>
    <cellStyle name="Separador de milhares 5" xfId="585" xr:uid="{A4D5FE47-4D74-40AB-B898-50574ABE7D88}"/>
    <cellStyle name="Separador de milhares 5 2" xfId="586" xr:uid="{C4C92020-8763-4AC0-AA78-D9591F77B65B}"/>
    <cellStyle name="Separador de milhares 5 2 2" xfId="587" xr:uid="{F7B22C91-606E-43C9-99AE-0979896382B4}"/>
    <cellStyle name="Separador de milhares 5 2 2 2" xfId="588" xr:uid="{68EB9FB5-0A95-4463-AC6A-9B85FF516D19}"/>
    <cellStyle name="Separador de milhares 5 2 2 2 2" xfId="589" xr:uid="{19220F47-1E88-4D51-8A7B-D3CDE4D45E92}"/>
    <cellStyle name="Separador de milhares 5 2 2 3" xfId="590" xr:uid="{E462002E-9ADE-405F-8DB5-000B404978FC}"/>
    <cellStyle name="Separador de milhares 5 2 2 4" xfId="591" xr:uid="{4289B222-927A-4DC2-8D91-9FE43BED45F8}"/>
    <cellStyle name="Separador de milhares 5 3" xfId="592" xr:uid="{988BF765-01B2-45E4-8FDE-3B2FD6EF535D}"/>
    <cellStyle name="Separador de milhares 5 3 2" xfId="593" xr:uid="{C4A3E11B-D2E1-40CE-AC67-052E8278B8E4}"/>
    <cellStyle name="Separador de milhares 5 3 2 2" xfId="594" xr:uid="{A31FEB78-F957-4A10-81ED-7AAFD10FCD6A}"/>
    <cellStyle name="Separador de milhares 5 3 2 2 2" xfId="595" xr:uid="{3AB212F8-04DE-4EFB-B48E-9FB2D1AC8DEF}"/>
    <cellStyle name="Separador de milhares 5 3 2 3" xfId="596" xr:uid="{F96AFFC0-4DCD-4542-A338-0DB41C0D4E66}"/>
    <cellStyle name="Separador de milhares 5 3 2 4" xfId="597" xr:uid="{5B321459-F83E-4F25-A8E7-7D2116CBE045}"/>
    <cellStyle name="Separador de milhares 5 4" xfId="598" xr:uid="{60B8C29D-91F3-46ED-9113-78D84EF42A9E}"/>
    <cellStyle name="Separador de milhares 5 4 2" xfId="599" xr:uid="{1BB51B6A-BA5A-49D6-9382-47050413D876}"/>
    <cellStyle name="Separador de milhares 5 4 2 2" xfId="600" xr:uid="{45AF814A-B6A7-42C4-AE8E-EE1885BE7595}"/>
    <cellStyle name="Separador de milhares 5 4 3" xfId="601" xr:uid="{94584251-E077-48D9-9F9E-EB3FA04BEEA7}"/>
    <cellStyle name="Separador de milhares 5 4 4" xfId="602" xr:uid="{329FC861-A2D4-46FF-99C5-BCEFE1700508}"/>
    <cellStyle name="Separador de milhares 5 4 5" xfId="603" xr:uid="{D6B96B73-2E0A-407B-B41F-9DAE6578EAD4}"/>
    <cellStyle name="Separador de milhares 6" xfId="604" xr:uid="{30F00869-4F3C-4B9D-889B-F3377BC4594B}"/>
    <cellStyle name="Separador de milhares 6 2" xfId="605" xr:uid="{E6282B18-9603-4F75-9F66-7D811F5A4834}"/>
    <cellStyle name="Separador de milhares 6 2 2" xfId="606" xr:uid="{30B56791-C527-4F3B-9D96-EE051B791B45}"/>
    <cellStyle name="Separador de milhares 6 2 2 2" xfId="607" xr:uid="{0A5C216C-3C20-4F41-86AB-8D54860388BB}"/>
    <cellStyle name="Separador de milhares 6 2 3" xfId="608" xr:uid="{360F4272-50E1-463D-9CAF-9407519C24E8}"/>
    <cellStyle name="Separador de milhares 6 2 4" xfId="609" xr:uid="{8C8A8CD7-15DF-4933-91AC-1589EE114E6C}"/>
    <cellStyle name="Separador de milhares 7" xfId="610" xr:uid="{2AEA2899-B597-4117-8641-820A0C338D94}"/>
    <cellStyle name="Separador de milhares 7 2" xfId="611" xr:uid="{1AA0707C-108C-40A2-AB60-D3B5A14F72C4}"/>
    <cellStyle name="Separador de milhares 7 2 2" xfId="612" xr:uid="{44F52316-CA61-4B79-B049-2C40FF1398A4}"/>
    <cellStyle name="Separador de milhares 7 3" xfId="613" xr:uid="{A1CCB861-1AE5-4C83-B873-6A5DA816EDDE}"/>
    <cellStyle name="Separador de milhares 7 4" xfId="614" xr:uid="{537C2E23-3D56-4224-BBDE-9B8D50E8EB68}"/>
    <cellStyle name="Separador de milhares 7 5" xfId="615" xr:uid="{D2FA0614-22BB-45F0-B5AC-F5C9CEC03856}"/>
    <cellStyle name="SUBTOTAIS" xfId="616" xr:uid="{C1770D96-4FDC-4069-93FC-5CCCEA26BC12}"/>
    <cellStyle name="SUMA PARCIAL" xfId="617" xr:uid="{D0F1F889-D177-4FF4-A105-1285F9ABCF68}"/>
    <cellStyle name="Texto de Aviso 2" xfId="618" xr:uid="{93234F2A-5259-4901-BDBD-681AFBD08110}"/>
    <cellStyle name="Texto de Aviso 3" xfId="619" xr:uid="{1637699E-8572-4B62-8D85-CF82A055A3B2}"/>
    <cellStyle name="Texto Explicativo 2" xfId="620" xr:uid="{674AF12A-3776-49CC-A15F-A55BFA8F7500}"/>
    <cellStyle name="Texto Explicativo 3" xfId="621" xr:uid="{94F9DE92-CAC9-4FCB-83D5-881A6E63FCB2}"/>
    <cellStyle name="Title" xfId="622" xr:uid="{F3CFA6A6-70C6-4A7C-9DB8-4F525C62CF2E}"/>
    <cellStyle name="Título 1 2" xfId="623" xr:uid="{93B2A1B0-7994-47DD-B7E5-73C1A6DFC41A}"/>
    <cellStyle name="Título 1 3" xfId="624" xr:uid="{CEE9ECE6-44D7-4FB9-86D4-CA1D354E247B}"/>
    <cellStyle name="Título 2 2" xfId="625" xr:uid="{398AC526-0087-4774-8079-136CC4DD966C}"/>
    <cellStyle name="Título 2 3" xfId="626" xr:uid="{EC0F914B-CE27-45DF-B8C0-FC0A0093816C}"/>
    <cellStyle name="Título 3 2" xfId="627" xr:uid="{F925FF98-2C80-4321-B812-B0023474F6D2}"/>
    <cellStyle name="Título 3 3" xfId="628" xr:uid="{40EBADB6-9446-4C9D-97C1-E40FB26750AC}"/>
    <cellStyle name="Título 4 2" xfId="629" xr:uid="{5B6CDE1C-648C-42F3-B059-BD1A61C9F19D}"/>
    <cellStyle name="Título 4 3" xfId="630" xr:uid="{F5F4790C-09E2-46BC-8D8D-C5F12D6A65F7}"/>
    <cellStyle name="Título 5" xfId="631" xr:uid="{450FF36A-4A30-46F7-B3F9-9C042A27A136}"/>
    <cellStyle name="Título 6" xfId="632" xr:uid="{47DE397B-DF42-42EB-95F1-691FF6FF1E49}"/>
    <cellStyle name="Titulo1" xfId="633" xr:uid="{E6F27147-6184-4F8F-9F23-766F13DB3E78}"/>
    <cellStyle name="Titulo1 2" xfId="634" xr:uid="{ED059ED5-F1D3-4960-A3A5-B073BA433FD7}"/>
    <cellStyle name="Titulo2" xfId="635" xr:uid="{E5797836-D4AF-4CD7-AA82-53CFDE7EFFCE}"/>
    <cellStyle name="Titulo2 2" xfId="636" xr:uid="{BA42DC06-94D2-452E-9371-BDC00D486EE0}"/>
    <cellStyle name="TITULOS" xfId="637" xr:uid="{CCA07858-CEE9-407E-8C7A-7F7C629B117E}"/>
    <cellStyle name="Total 2" xfId="638" xr:uid="{370581D8-BF8F-4FEE-8066-8E0239C691F1}"/>
    <cellStyle name="Total 2 2" xfId="639" xr:uid="{C7B81894-781B-4D4C-8601-83C62CA62D21}"/>
    <cellStyle name="Total 3" xfId="640" xr:uid="{1312721E-1D48-4798-8FF0-DB79FCCC9A46}"/>
    <cellStyle name="Verificar Célula" xfId="641" xr:uid="{3D2DF0F3-1A13-4199-8923-85300D842D5B}"/>
    <cellStyle name="Vírgula" xfId="642" builtinId="3"/>
    <cellStyle name="Vírgula 10 4" xfId="643" xr:uid="{33907399-63C3-4C9D-B8D6-4AFAC3D85215}"/>
    <cellStyle name="Vírgula 10 4 2" xfId="644" xr:uid="{1256E7F2-7744-4418-B358-21A68B11DA0D}"/>
    <cellStyle name="Vírgula 10 4 2 2" xfId="645" xr:uid="{821E6473-9C64-4904-9DAD-79F35C27B75E}"/>
    <cellStyle name="Vírgula 10 4 3" xfId="646" xr:uid="{5800052C-A25F-434F-8CC9-FE026B16CC07}"/>
    <cellStyle name="Vírgula 10 4 4" xfId="647" xr:uid="{31E3AF09-5D5C-4E48-A007-CCE01D2E4048}"/>
    <cellStyle name="Vírgula 11 2" xfId="648" xr:uid="{34C9B674-9364-4D68-946E-21E17D64A7BE}"/>
    <cellStyle name="Vírgula 11 2 2" xfId="649" xr:uid="{A95B0EC5-F8DF-4321-B4FE-2EFDAF045BCF}"/>
    <cellStyle name="Vírgula 11 2 2 2" xfId="650" xr:uid="{625693D0-4706-491A-BB85-257FB278A854}"/>
    <cellStyle name="Vírgula 11 2 2 2 2" xfId="651" xr:uid="{F2DEADBA-2E05-41EA-9C58-8551EA276B55}"/>
    <cellStyle name="Vírgula 11 2 2 2 2 2" xfId="652" xr:uid="{02584572-BF1C-434D-8500-3A1246EFA624}"/>
    <cellStyle name="Vírgula 11 2 2 2 3" xfId="653" xr:uid="{4C9D5B16-D071-4035-BF85-E00C44280F97}"/>
    <cellStyle name="Vírgula 11 2 2 2 4" xfId="654" xr:uid="{AD78AD27-D608-4282-8ED7-596A24CCCE44}"/>
    <cellStyle name="Vírgula 11 2 2 3" xfId="655" xr:uid="{6F4737D2-572D-4ED0-A479-88D9A1F0F37A}"/>
    <cellStyle name="Vírgula 11 2 2 3 2" xfId="656" xr:uid="{EF03489B-74D9-42A1-B7F9-4C0162F884B7}"/>
    <cellStyle name="Vírgula 11 2 2 4" xfId="657" xr:uid="{A345D9B8-DD62-41EF-8467-202FC0DCBC18}"/>
    <cellStyle name="Vírgula 11 2 2 5" xfId="658" xr:uid="{58936F62-2410-48A6-9334-92F95C1C2E77}"/>
    <cellStyle name="Vírgula 11 2 3" xfId="659" xr:uid="{B0451D79-A38B-44B7-924F-7025B70FA6EE}"/>
    <cellStyle name="Vírgula 11 2 3 2" xfId="660" xr:uid="{4D673088-7758-4F03-97AE-7D124D75E714}"/>
    <cellStyle name="Vírgula 11 2 3 2 2" xfId="661" xr:uid="{BDE46944-5BB7-4BBA-BD75-965832E172D6}"/>
    <cellStyle name="Vírgula 11 2 3 3" xfId="662" xr:uid="{898A3854-6BDA-489C-9FF1-46EC629185B0}"/>
    <cellStyle name="Vírgula 11 2 3 4" xfId="663" xr:uid="{204F0972-A67D-4EC1-AFE1-3593A67D9711}"/>
    <cellStyle name="Vírgula 11 2 4" xfId="664" xr:uid="{78C665AC-0A94-4F3D-AD09-43AAA82F41E5}"/>
    <cellStyle name="Vírgula 11 2 4 2" xfId="665" xr:uid="{F28DC808-2213-4E58-8467-211F2CFE7514}"/>
    <cellStyle name="Vírgula 11 2 4 2 2" xfId="666" xr:uid="{380F2B83-DF7E-4F00-B8B5-B1810764029E}"/>
    <cellStyle name="Vírgula 11 2 4 3" xfId="667" xr:uid="{B1EAF7F6-94D6-4617-9AE8-19F3E41D1AD9}"/>
    <cellStyle name="Vírgula 11 2 4 4" xfId="668" xr:uid="{9FB7EBA2-ACEB-460F-AB80-F25F92601D85}"/>
    <cellStyle name="Vírgula 11 2 5" xfId="669" xr:uid="{261F94B9-9F7A-4EE4-8DC7-DAF8D90C7739}"/>
    <cellStyle name="Vírgula 11 2 5 2" xfId="670" xr:uid="{224AD8E8-816A-4977-BB80-BA67C2DCDDFC}"/>
    <cellStyle name="Vírgula 11 2 6" xfId="671" xr:uid="{085168B9-3BD1-4C2C-A343-43472C21BEAC}"/>
    <cellStyle name="Vírgula 14" xfId="672" xr:uid="{DC6514E5-9777-4CD2-8A7C-FD97D1514026}"/>
    <cellStyle name="Vírgula 14 2" xfId="673" xr:uid="{BAE04C91-4A0F-475E-9221-EB09F6D05BD0}"/>
    <cellStyle name="Vírgula 14 2 2" xfId="674" xr:uid="{A636239F-C396-4BFD-AC40-67CE84E17949}"/>
    <cellStyle name="Vírgula 14 2 2 2" xfId="675" xr:uid="{AEBB2699-857D-4504-9C8F-69322E3C12D5}"/>
    <cellStyle name="Vírgula 14 2 3" xfId="676" xr:uid="{848317B9-59B3-449A-9818-DB241DB19CA6}"/>
    <cellStyle name="Vírgula 14 3" xfId="677" xr:uid="{7048FBC1-E3CE-4419-950A-20AD5B43A2B4}"/>
    <cellStyle name="Vírgula 15" xfId="678" xr:uid="{AB4E0EA0-55B5-4DC5-8EB5-F3FDF31F11F4}"/>
    <cellStyle name="Vírgula 15 2" xfId="679" xr:uid="{5AA84F73-EA4C-4E89-A9D1-0FD627437103}"/>
    <cellStyle name="Vírgula 15 2 2" xfId="680" xr:uid="{7ADB783D-5475-479A-8D16-7447BC7BF2D4}"/>
    <cellStyle name="Vírgula 15 2 2 2" xfId="681" xr:uid="{591952DB-D41E-4496-A6DE-B31D094FEA73}"/>
    <cellStyle name="Vírgula 15 2 2 3" xfId="682" xr:uid="{3E416173-75AE-43CA-B296-945AE7FA3BCF}"/>
    <cellStyle name="Vírgula 15 2 2 4" xfId="683" xr:uid="{F9A20BC3-DA67-4527-B90B-AFB757E372D3}"/>
    <cellStyle name="Vírgula 15 2 3" xfId="684" xr:uid="{A8D97678-8E8A-4D40-A190-D4F5FBA90D46}"/>
    <cellStyle name="Vírgula 15 2 4" xfId="685" xr:uid="{029B0ECD-95E7-4A1B-8A37-F9E4425FF002}"/>
    <cellStyle name="Vírgula 15 2 5" xfId="686" xr:uid="{C5AD86CD-6C05-4CC1-B77D-17FE8FE37932}"/>
    <cellStyle name="Vírgula 15 2 6" xfId="687" xr:uid="{C854DB4B-ACA9-4B7C-BF6E-71B7095FEDC5}"/>
    <cellStyle name="Vírgula 15 3" xfId="688" xr:uid="{9845FF91-9D7E-4E1D-92F3-83DD57339A51}"/>
    <cellStyle name="Vírgula 15 3 2" xfId="689" xr:uid="{1AC4F550-A596-43F4-AD18-7A86DAB38880}"/>
    <cellStyle name="Vírgula 15 3 2 2" xfId="690" xr:uid="{BCE6B492-04B8-4DA5-B588-69552130A7F1}"/>
    <cellStyle name="Vírgula 15 3 3" xfId="691" xr:uid="{658EB714-740F-468C-94B8-CED842C3E507}"/>
    <cellStyle name="Vírgula 15 3 4" xfId="692" xr:uid="{DEA67C49-840B-4FC9-950F-00CE764E0962}"/>
    <cellStyle name="Vírgula 15 3 5" xfId="693" xr:uid="{E08324B6-30FF-4FBB-9B30-6E725C4F445D}"/>
    <cellStyle name="Vírgula 15 4" xfId="694" xr:uid="{4B2ECAD9-24A9-4670-BB96-CAF522AF37B5}"/>
    <cellStyle name="Vírgula 15 4 2" xfId="695" xr:uid="{F46418BA-B27C-4CD1-B26F-6BAEA9C4423A}"/>
    <cellStyle name="Vírgula 15 5" xfId="696" xr:uid="{25F95E72-BEE3-47D0-A775-5E447CB4794F}"/>
    <cellStyle name="Vírgula 15 6" xfId="697" xr:uid="{36F51BBD-F052-4C38-AFA1-3D76C3D3455E}"/>
    <cellStyle name="Vírgula 15 7" xfId="698" xr:uid="{2958B3C0-8715-4FC0-863A-AC08409F466E}"/>
    <cellStyle name="Vírgula 15 8" xfId="699" xr:uid="{2CCE814A-3DE1-4A4D-B182-569D045F6C0B}"/>
    <cellStyle name="Vírgula 2" xfId="700" xr:uid="{849F6156-DA38-4A27-B9C0-8F7FD7A61D8C}"/>
    <cellStyle name="Vírgula 2 2" xfId="701" xr:uid="{678BD831-FCFA-4E15-8809-EC2819239112}"/>
    <cellStyle name="Vírgula 2 2 10" xfId="702" xr:uid="{DFF62A8D-CBF0-49F5-8FDE-C8A5A6278732}"/>
    <cellStyle name="Vírgula 2 2 11" xfId="703" xr:uid="{D5884831-9542-45AB-A84A-84E5924E1A52}"/>
    <cellStyle name="Vírgula 2 2 2" xfId="704" xr:uid="{6D01B17E-4877-435C-B142-AF85F0355F6E}"/>
    <cellStyle name="Vírgula 2 2 2 2" xfId="705" xr:uid="{A8A0D1CE-0CFC-4CE0-B452-BA9462321128}"/>
    <cellStyle name="Vírgula 2 2 2 2 2" xfId="706" xr:uid="{3CCC646D-767F-4F90-ABB0-987DA2EDDC61}"/>
    <cellStyle name="Vírgula 2 2 2 2 2 2" xfId="707" xr:uid="{E89F3E34-E8D4-4E08-9434-2CE1761E076D}"/>
    <cellStyle name="Vírgula 2 2 2 2 3" xfId="708" xr:uid="{75D24888-95CB-4BF2-B320-034861ABBE8C}"/>
    <cellStyle name="Vírgula 2 2 2 2 4" xfId="709" xr:uid="{E1A7994A-315D-4402-82C3-8DE20D2E9F3A}"/>
    <cellStyle name="Vírgula 2 2 2 2 5" xfId="710" xr:uid="{01FBCF33-E0DD-4537-89EA-01B5B596C05A}"/>
    <cellStyle name="Vírgula 2 2 2 3" xfId="711" xr:uid="{8BAFB807-47FD-420C-A4FB-13269FA10781}"/>
    <cellStyle name="Vírgula 2 2 3" xfId="712" xr:uid="{697C0331-8216-4E0C-A432-D35F862F9981}"/>
    <cellStyle name="Vírgula 2 2 3 2" xfId="713" xr:uid="{FCE7CD20-CB68-406F-8B35-636DD3B646F4}"/>
    <cellStyle name="Vírgula 2 2 3 2 2" xfId="714" xr:uid="{F1903058-55DD-472E-B148-D3265FB15CC6}"/>
    <cellStyle name="Vírgula 2 2 3 3" xfId="715" xr:uid="{EE795062-9D5D-4659-9DC9-7707B93D7A01}"/>
    <cellStyle name="Vírgula 2 2 3 4" xfId="716" xr:uid="{4ECE0D69-3B3E-4543-BEF6-F3350571B7BE}"/>
    <cellStyle name="Vírgula 2 2 3 5" xfId="717" xr:uid="{AF91A8F4-F84E-45D3-BA63-2709A6AD4E87}"/>
    <cellStyle name="Vírgula 2 2 4" xfId="718" xr:uid="{DA3BF173-0506-4EDF-8479-A59B5D717216}"/>
    <cellStyle name="Vírgula 2 2 4 2" xfId="719" xr:uid="{188B8C4D-FE11-4B78-8956-70F7E0EE3C32}"/>
    <cellStyle name="Vírgula 2 2 4 3" xfId="720" xr:uid="{D6811459-90BC-48A5-A55E-496C629DFCB8}"/>
    <cellStyle name="Vírgula 2 2 5" xfId="721" xr:uid="{1CB898B4-02EF-496A-B4BA-A6585D643023}"/>
    <cellStyle name="Vírgula 2 2 6" xfId="722" xr:uid="{07DEB995-8B71-4707-B71C-65398FC7F820}"/>
    <cellStyle name="Vírgula 2 2 7" xfId="723" xr:uid="{3A1B555B-DC76-4F5C-989B-DC4276449890}"/>
    <cellStyle name="Vírgula 2 2 8" xfId="724" xr:uid="{4A8D446B-8040-4F5C-BC44-A8FB9CA7F421}"/>
    <cellStyle name="Vírgula 2 2 9" xfId="725" xr:uid="{B909B154-AE1B-4DF8-9326-C147E09E73E1}"/>
    <cellStyle name="Vírgula 2 3" xfId="726" xr:uid="{F0E245C9-CA73-4B44-96E1-8753C61DE451}"/>
    <cellStyle name="Vírgula 2 3 2" xfId="727" xr:uid="{16B12AFD-E408-47FA-B586-AE1331F46D93}"/>
    <cellStyle name="Vírgula 2 3 2 2" xfId="728" xr:uid="{BE74144E-959F-461C-870F-9986ACC8EDFE}"/>
    <cellStyle name="Vírgula 2 3 2 2 2" xfId="729" xr:uid="{D885E5F5-BD36-4053-ADB5-4BA317CFCF62}"/>
    <cellStyle name="Vírgula 2 3 2 2 3" xfId="730" xr:uid="{E3348CE5-09BA-4540-A2A1-84F16CBD0D58}"/>
    <cellStyle name="Vírgula 2 3 3" xfId="731" xr:uid="{4A9AC5C7-212F-4758-B767-BBB410DC7B8D}"/>
    <cellStyle name="Vírgula 2 3 3 2" xfId="732" xr:uid="{5D3BF520-868E-4F5E-9143-E7103E42867D}"/>
    <cellStyle name="Vírgula 2 3 3 3" xfId="733" xr:uid="{A383513C-1567-4BAA-A3C9-E8BDD6E7363B}"/>
    <cellStyle name="Vírgula 2 3 4" xfId="734" xr:uid="{6CD29320-03FF-4053-99B2-B71BF4EC5D3C}"/>
    <cellStyle name="Vírgula 2 3 5" xfId="735" xr:uid="{3CF7FE0F-C2D1-46D5-B896-4118B08F1052}"/>
    <cellStyle name="Vírgula 2 3 6" xfId="736" xr:uid="{FE6E7272-243D-46F6-905C-FBFFA6812283}"/>
    <cellStyle name="Vírgula 2 4" xfId="737" xr:uid="{D0219883-14A9-4C99-A898-F2894BF6B09E}"/>
    <cellStyle name="Vírgula 2 4 2" xfId="738" xr:uid="{FC9B3009-0D8D-4C01-AA59-6013887B391C}"/>
    <cellStyle name="Vírgula 2 4 2 2" xfId="739" xr:uid="{6207296E-1DE9-4753-870C-16C2584D2FC3}"/>
    <cellStyle name="Vírgula 2 4 3" xfId="740" xr:uid="{EFA96508-4899-4242-A57E-E57E1A7E46B6}"/>
    <cellStyle name="Vírgula 2 4 4" xfId="741" xr:uid="{2E133994-76DD-4EA1-830A-FF82AB8C58FC}"/>
    <cellStyle name="Vírgula 2 4 5" xfId="742" xr:uid="{C8CEFA0D-AF7E-4AAD-A12A-7A9AEE6B32BB}"/>
    <cellStyle name="Vírgula 2 5" xfId="743" xr:uid="{844E981A-1EFB-4FCD-B420-68DA1C138709}"/>
    <cellStyle name="Vírgula 2 6" xfId="744" xr:uid="{4D03DE4C-8B42-44B6-B381-52DAE37B2076}"/>
    <cellStyle name="Vírgula 2 7" xfId="745" xr:uid="{9960AD5C-6ACA-4309-A91F-33147F85C3B6}"/>
    <cellStyle name="Vírgula 2 8" xfId="746" xr:uid="{CFC82B06-84BF-4F96-BC46-9D4B8F38F3D0}"/>
    <cellStyle name="Vírgula 2 8 2" xfId="747" xr:uid="{58D0DCEE-44F2-4C07-83D9-2D179D740E89}"/>
    <cellStyle name="Vírgula 2 8 2 2" xfId="748" xr:uid="{B4EC0E50-E73E-4A24-96BD-CC61ACC37F19}"/>
    <cellStyle name="Vírgula 2 8 3" xfId="749" xr:uid="{3C61EC1A-F5BF-4A06-AA6E-1DF8F230F2FB}"/>
    <cellStyle name="Vírgula 2 8 4" xfId="750" xr:uid="{2A78D19C-0268-4047-B8E3-866C0C94ECBD}"/>
    <cellStyle name="Vírgula 3" xfId="751" xr:uid="{8388DDF1-2A52-4173-8FC0-8D94B1FC8690}"/>
    <cellStyle name="Vírgula 3 2" xfId="752" xr:uid="{4B2BCFFA-089E-4A00-820D-C7793FCB2610}"/>
    <cellStyle name="Vírgula 3 2 2" xfId="753" xr:uid="{4F8E2C6D-024E-4B66-9790-D937AD2C6817}"/>
    <cellStyle name="Vírgula 3 2 2 2" xfId="754" xr:uid="{3F8406B1-A41E-4BD2-B083-379628D623C3}"/>
    <cellStyle name="Vírgula 3 2 2 2 2" xfId="755" xr:uid="{597C7527-4F94-4D2C-AB17-B27419AB803F}"/>
    <cellStyle name="Vírgula 3 2 2 3" xfId="756" xr:uid="{35CF1A9C-0901-4C4E-ADE5-47D0889ED5F3}"/>
    <cellStyle name="Vírgula 3 2 2 4" xfId="757" xr:uid="{533DE7E6-F2A3-44CF-9707-A08BC567BFFC}"/>
    <cellStyle name="Vírgula 3 2 2 5" xfId="758" xr:uid="{77E21893-5E94-444C-B6BC-1A86294D2487}"/>
    <cellStyle name="Vírgula 3 2 3" xfId="759" xr:uid="{A1324FDA-EFF3-4142-9C06-A028A525A0A0}"/>
    <cellStyle name="Vírgula 3 2 3 2" xfId="760" xr:uid="{99974C55-051E-46FC-86B6-73CDB9037417}"/>
    <cellStyle name="Vírgula 3 2 4" xfId="761" xr:uid="{F59CB70F-9BF9-4A2A-BA37-D4A8F0601648}"/>
    <cellStyle name="Vírgula 3 2 5" xfId="762" xr:uid="{74F62BC7-22CE-435C-8097-2EDA29754DD0}"/>
    <cellStyle name="Vírgula 3 2 6" xfId="763" xr:uid="{2949F6FB-A9B7-4729-AC82-21E78D4B2F4C}"/>
    <cellStyle name="Vírgula 3 2 7" xfId="764" xr:uid="{0D29D54F-7E2F-46D8-8B48-A8346EAECC5D}"/>
    <cellStyle name="Vírgula 3 3" xfId="765" xr:uid="{A9BB8E9C-0DEF-440F-BAB5-4E0018D32F81}"/>
    <cellStyle name="Vírgula 3 3 2" xfId="766" xr:uid="{403EEDBD-5752-4E0B-89D5-077BA15A0F08}"/>
    <cellStyle name="Vírgula 3 3 2 2" xfId="767" xr:uid="{E9F97211-0E00-4A26-8D5E-157CA68D0DDF}"/>
    <cellStyle name="Vírgula 3 3 3" xfId="768" xr:uid="{B173FC64-E4BB-4C59-8605-DBFE088F5B2B}"/>
    <cellStyle name="Vírgula 3 4" xfId="769" xr:uid="{00A0687C-2E92-422D-9A09-C743F8EEE743}"/>
    <cellStyle name="Vírgula 3 4 2" xfId="770" xr:uid="{4F5C9A76-C8CC-4CCD-AE7F-14F6744B8B10}"/>
    <cellStyle name="Vírgula 3 4 2 2" xfId="771" xr:uid="{39A534D0-0583-4F45-8782-B1AC15336097}"/>
    <cellStyle name="Vírgula 3 4 3" xfId="772" xr:uid="{CE972966-9F69-4FD3-A654-F8387E0EDBA1}"/>
    <cellStyle name="Vírgula 3 5" xfId="773" xr:uid="{7A96706C-36B2-47D5-A73F-36971C991017}"/>
    <cellStyle name="Vírgula 3 6" xfId="774" xr:uid="{43C2724C-2356-4557-A04A-B1CA485FB760}"/>
    <cellStyle name="Vírgula 3 7" xfId="775" xr:uid="{972ACF23-8182-4F4A-BF10-679A1A380AAE}"/>
    <cellStyle name="Vírgula 3 8" xfId="776" xr:uid="{F6D69FD5-E2CF-41DC-9E08-7CBD9DC5BC45}"/>
    <cellStyle name="Vírgula 4" xfId="777" xr:uid="{7C48844F-B441-4E4F-BAA5-9E619BD245D4}"/>
    <cellStyle name="Vírgula 4 2" xfId="778" xr:uid="{4E4C4C4E-9E8B-4A3E-BA41-EF8AA4404271}"/>
    <cellStyle name="Vírgula 4 2 2" xfId="779" xr:uid="{CE6F3321-3179-418E-8B11-7FACFA804C96}"/>
    <cellStyle name="Vírgula 4 2 2 2" xfId="780" xr:uid="{C40D2046-B8B1-4F32-A8E8-A10B5F3E16A3}"/>
    <cellStyle name="Vírgula 4 2 2 3" xfId="781" xr:uid="{F78B050C-17A9-4A38-95AA-400EE16CFEED}"/>
    <cellStyle name="Vírgula 4 2 2 4" xfId="782" xr:uid="{4B4D6110-2674-488B-9B8E-AE9718B9380F}"/>
    <cellStyle name="Vírgula 4 2 3" xfId="783" xr:uid="{23CE864C-640C-46B0-B775-C021A7022120}"/>
    <cellStyle name="Vírgula 4 2 4" xfId="784" xr:uid="{781F5D1C-A4C4-4DA3-9AF6-0FAB856FF2A3}"/>
    <cellStyle name="Vírgula 4 2 5" xfId="785" xr:uid="{CC617833-4E8F-4F6E-9EB0-4FFFE212F16B}"/>
    <cellStyle name="Vírgula 4 2 6" xfId="786" xr:uid="{57657F3C-8A6B-477A-89E8-A86FEC44F240}"/>
    <cellStyle name="Vírgula 4 3" xfId="787" xr:uid="{B5BED26D-2CDF-4791-A14E-EE89854D837E}"/>
    <cellStyle name="Vírgula 4 3 2" xfId="788" xr:uid="{28018F71-C2DB-42BE-9D46-F35928CBA066}"/>
    <cellStyle name="Vírgula 4 4" xfId="789" xr:uid="{F10D279A-A9B9-481A-B3D5-CD2444EB96E1}"/>
    <cellStyle name="Vírgula 4 5" xfId="790" xr:uid="{6A3A839E-494E-47B2-B5E2-1B4564CC936A}"/>
    <cellStyle name="Vírgula 4 6" xfId="791" xr:uid="{3563787E-8469-4BDC-BA4A-AC6594371275}"/>
    <cellStyle name="Vírgula 5" xfId="792" xr:uid="{5732919C-F27F-432A-A4E2-716A3A7CC279}"/>
    <cellStyle name="Vírgula 5 2" xfId="793" xr:uid="{0909C804-5424-494C-A5B3-383F27D1EDC4}"/>
    <cellStyle name="Vírgula 5 2 2" xfId="794" xr:uid="{69EFBA25-4019-4E54-AED4-33B174227EA6}"/>
    <cellStyle name="Vírgula 5 2 2 2" xfId="795" xr:uid="{69B98B29-6497-4B87-947A-B75B51984E66}"/>
    <cellStyle name="Vírgula 5 2 2 2 2" xfId="796" xr:uid="{8771829A-835D-4C58-B708-BA41CF734AEC}"/>
    <cellStyle name="Vírgula 5 2 2 3" xfId="797" xr:uid="{BCA31731-D956-41E6-ADE0-A4BACE73D94B}"/>
    <cellStyle name="Vírgula 5 2 2 4" xfId="798" xr:uid="{3D338903-0586-4251-90F6-6727B56FBD85}"/>
    <cellStyle name="Vírgula 5 2 2 5" xfId="799" xr:uid="{E9D2C0F2-F262-4879-8434-66EF5FD7E557}"/>
    <cellStyle name="Vírgula 5 2 3" xfId="800" xr:uid="{FE7468D7-425E-491F-95E4-0147A51421FF}"/>
    <cellStyle name="Vírgula 5 3" xfId="801" xr:uid="{4CF67016-29AC-474B-99FF-B748A2A07D52}"/>
    <cellStyle name="Vírgula 5 3 2" xfId="802" xr:uid="{F4F5143A-EEBD-4753-841B-FD96F5E30BA9}"/>
    <cellStyle name="Vírgula 5 3 2 2" xfId="803" xr:uid="{B8BE4C91-5D4F-4042-8975-01F36CA54B9A}"/>
    <cellStyle name="Vírgula 5 3 2 3" xfId="804" xr:uid="{663BF16A-30B5-47E8-AA4E-94E01A1F22D4}"/>
    <cellStyle name="Vírgula 5 3 3" xfId="805" xr:uid="{9C159F73-ABE3-4146-9E5B-82C39073B24B}"/>
    <cellStyle name="Vírgula 5 3 4" xfId="806" xr:uid="{7B2CDC8C-7706-4A21-A27A-9847FB12B8E0}"/>
    <cellStyle name="Vírgula 5 3 5" xfId="807" xr:uid="{833EB71C-3D30-4079-81F5-D350BDCBC882}"/>
    <cellStyle name="Vírgula 6" xfId="808" xr:uid="{793AF13F-F8A1-427C-AD58-1FE2E2DE095C}"/>
    <cellStyle name="Vírgula 6 2" xfId="809" xr:uid="{2E623253-EEAF-4325-A4C6-DC4E3DF5BA36}"/>
    <cellStyle name="Vírgula 6 2 2" xfId="810" xr:uid="{06E9B4C7-1081-4E64-A1F7-BEADD891AC35}"/>
    <cellStyle name="Vírgula 6 2 2 2" xfId="811" xr:uid="{37F4D2E7-E76B-443F-9E17-87F4948015FD}"/>
    <cellStyle name="Vírgula 6 2 2 3" xfId="812" xr:uid="{D6CB4392-3721-414D-95C6-7C36F8EA973B}"/>
    <cellStyle name="Vírgula 6 2 3" xfId="813" xr:uid="{05284ACA-82FC-41A8-B93D-178C8B7D05A5}"/>
    <cellStyle name="Vírgula 6 2 4" xfId="814" xr:uid="{FA3C135E-C05C-4209-BC46-A0F116363956}"/>
    <cellStyle name="Vírgula 6 2 5" xfId="815" xr:uid="{AE22628B-50A8-4379-BEDC-F88B510DC9E2}"/>
    <cellStyle name="Vírgula 6 3" xfId="816" xr:uid="{0E8326BE-DB43-4065-8719-93E2D05BFDC2}"/>
    <cellStyle name="Vírgula 6 4" xfId="817" xr:uid="{3BBA481E-A340-40DA-98DD-C3A2E8181821}"/>
    <cellStyle name="Vírgula 7" xfId="818" xr:uid="{43CA2083-30F3-48D0-9530-BC63CA1E6629}"/>
    <cellStyle name="Vírgula 7 2" xfId="819" xr:uid="{D44C5E05-1AF4-42A7-A22A-45462EC31F7F}"/>
    <cellStyle name="Vírgula 7 2 2" xfId="820" xr:uid="{02B1AE3F-CAE6-4071-B4D9-640AB4D15025}"/>
    <cellStyle name="Vírgula 7 2 3" xfId="821" xr:uid="{E5C789AE-E2FF-437F-8037-4916C1FE039B}"/>
    <cellStyle name="Vírgula 7 2 4" xfId="822" xr:uid="{1E9D6789-F9F3-46E5-8473-627E9DE6CFF6}"/>
    <cellStyle name="Vírgula 7 3" xfId="823" xr:uid="{E44F07E8-684B-4C92-8B92-3D667F8063F6}"/>
    <cellStyle name="Vírgula 7 4" xfId="824" xr:uid="{C9481BB5-CAC5-455A-80D3-FA2A6FC5C14F}"/>
    <cellStyle name="Vírgula 7 5" xfId="825" xr:uid="{F5CE60F4-3F70-4F57-9D12-9BFA43F9595C}"/>
    <cellStyle name="Vírgula 7 6" xfId="826" xr:uid="{26F8BF89-4719-48FC-880E-244B334A0048}"/>
    <cellStyle name="Vírgula 7 7" xfId="827" xr:uid="{87703806-A8B6-4B6A-8E13-4095511D68E4}"/>
    <cellStyle name="Vírgula 8" xfId="828" xr:uid="{0B88C9C0-A30D-4253-B641-001AE8F41EFB}"/>
    <cellStyle name="Vírgula 8 2" xfId="829" xr:uid="{560072E5-C119-4C98-B6A2-313200105200}"/>
    <cellStyle name="Vírgula 8 2 2" xfId="830" xr:uid="{335C5558-2103-4E22-AF37-A76CAD2F7750}"/>
    <cellStyle name="Vírgula 8 3" xfId="831" xr:uid="{BB12FD73-CEAC-4FE3-B1C8-154302B842B8}"/>
    <cellStyle name="Warning Text" xfId="832" xr:uid="{48B19AD2-00E5-4B5D-AC87-9C0B2D226D3A}"/>
  </cellStyles>
  <dxfs count="37"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FFC000"/>
        </patternFill>
      </fill>
    </dxf>
    <dxf>
      <font>
        <b/>
        <i val="0"/>
        <color rgb="FF000000"/>
      </font>
      <fill>
        <patternFill patternType="solid">
          <fgColor indexed="64"/>
          <bgColor rgb="FFFFFF00"/>
        </patternFill>
      </fill>
    </dxf>
    <dxf>
      <font>
        <b/>
        <i val="0"/>
        <color rgb="FF000000"/>
      </font>
      <fill>
        <patternFill patternType="solid">
          <fgColor indexed="64"/>
          <bgColor rgb="FF92D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000000"/>
      </font>
      <fill>
        <patternFill patternType="solid">
          <fgColor indexed="64"/>
          <bgColor rgb="FF76933C"/>
        </patternFill>
      </fill>
    </dxf>
  </dxfs>
  <tableStyles count="1" defaultTableStyle="TableStyleMedium9" defaultPivotStyle="PivotStyleLight16">
    <tableStyle name="Invisible" pivot="0" table="0" count="0" xr9:uid="{3E46B962-CC01-43AF-908E-F89210CB02DC}"/>
  </tableStyles>
  <colors>
    <mruColors>
      <color rgb="FFEFFFF8"/>
      <color rgb="FFFFFFE5"/>
      <color rgb="FF006666"/>
      <color rgb="FF009999"/>
      <color rgb="FF008080"/>
      <color rgb="FFFFFFCC"/>
      <color rgb="FFB3FFDE"/>
      <color rgb="FF99FFCC"/>
      <color rgb="FFB3FFFF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0</xdr:colOff>
      <xdr:row>11</xdr:row>
      <xdr:rowOff>0</xdr:rowOff>
    </xdr:from>
    <xdr:to>
      <xdr:col>72</xdr:col>
      <xdr:colOff>304800</xdr:colOff>
      <xdr:row>234</xdr:row>
      <xdr:rowOff>278935</xdr:rowOff>
    </xdr:to>
    <xdr:sp macro="" textlink="">
      <xdr:nvSpPr>
        <xdr:cNvPr id="6561685" name="AutoShape 87957" descr="Infográfico de execução e saldo">
          <a:extLst>
            <a:ext uri="{FF2B5EF4-FFF2-40B4-BE49-F238E27FC236}">
              <a16:creationId xmlns:a16="http://schemas.microsoft.com/office/drawing/2014/main" id="{D8E5593C-E1DA-3489-74FA-8A970F65173D}"/>
            </a:ext>
          </a:extLst>
        </xdr:cNvPr>
        <xdr:cNvSpPr>
          <a:spLocks noChangeAspect="1" noChangeArrowheads="1"/>
        </xdr:cNvSpPr>
      </xdr:nvSpPr>
      <xdr:spPr bwMode="auto">
        <a:xfrm>
          <a:off x="61360050" y="422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69</xdr:col>
      <xdr:colOff>212912</xdr:colOff>
      <xdr:row>0</xdr:row>
      <xdr:rowOff>246529</xdr:rowOff>
    </xdr:from>
    <xdr:to>
      <xdr:col>74</xdr:col>
      <xdr:colOff>711652</xdr:colOff>
      <xdr:row>3</xdr:row>
      <xdr:rowOff>142396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3A33AF5-5726-5A91-E467-3BEDFB22A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96618" y="246529"/>
          <a:ext cx="7252712" cy="5874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ecnored365-my.sharepoint.com/personal/wansley_lima_tecnored_com_br/Documents/&#193;rea%20de%20Trabalho/MAC/Contratos%20de%20RH%20que%20n&#227;o%20podem%20aparecer%20no%20dash.xlsx" TargetMode="External"/><Relationship Id="rId1" Type="http://schemas.openxmlformats.org/officeDocument/2006/relationships/externalLinkPath" Target="https://tecnored365-my.sharepoint.com/personal/wansley_lima_tecnored_com_br/Documents/&#193;rea%20de%20Trabalho/MAC/Contratos%20de%20RH%20que%20n&#227;o%20podem%20aparecer%20no%20da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</sheetNames>
    <sheetDataSet>
      <sheetData sheetId="0">
        <row r="14">
          <cell r="AY14">
            <v>1319753.6000000001</v>
          </cell>
          <cell r="AZ14">
            <v>724223</v>
          </cell>
          <cell r="BA14">
            <v>267117</v>
          </cell>
          <cell r="BB14">
            <v>44116</v>
          </cell>
          <cell r="BC14">
            <v>44385</v>
          </cell>
          <cell r="BD14">
            <v>62946</v>
          </cell>
          <cell r="BE14">
            <v>55952</v>
          </cell>
          <cell r="BF14">
            <v>59718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O14">
            <v>991340</v>
          </cell>
        </row>
        <row r="15"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8F852-E81A-4441-92CB-AAE232FEBD91}">
  <sheetPr codeName="Plan2">
    <tabColor rgb="FF006666"/>
    <pageSetUpPr fitToPage="1"/>
  </sheetPr>
  <dimension ref="A1:IS534"/>
  <sheetViews>
    <sheetView showGridLines="0" tabSelected="1" zoomScale="85" zoomScaleNormal="85" workbookViewId="0">
      <pane xSplit="4" ySplit="4" topLeftCell="AI13" activePane="bottomRight" state="frozen"/>
      <selection pane="topRight" activeCell="E1" sqref="E1"/>
      <selection pane="bottomLeft" activeCell="A5" sqref="A5"/>
      <selection pane="bottomRight" activeCell="D17" sqref="D17"/>
    </sheetView>
  </sheetViews>
  <sheetFormatPr defaultColWidth="9.1796875" defaultRowHeight="25" customHeight="1" outlineLevelRow="1" outlineLevelCol="1"/>
  <cols>
    <col min="1" max="1" width="1.54296875" style="36" customWidth="1"/>
    <col min="2" max="2" width="8.54296875" style="2" customWidth="1"/>
    <col min="3" max="3" width="28.453125" style="2" customWidth="1"/>
    <col min="4" max="4" width="14.54296875" style="2" customWidth="1"/>
    <col min="5" max="5" width="31" style="2" customWidth="1"/>
    <col min="6" max="6" width="14.453125" style="2" customWidth="1"/>
    <col min="7" max="7" width="12.7265625" style="2" customWidth="1"/>
    <col min="8" max="8" width="14.453125" style="2" customWidth="1"/>
    <col min="9" max="9" width="16.453125" style="2" customWidth="1"/>
    <col min="10" max="11" width="14.81640625" style="2" customWidth="1"/>
    <col min="12" max="29" width="12.453125" style="3" hidden="1" customWidth="1" outlineLevel="1"/>
    <col min="30" max="30" width="14.54296875" style="4" customWidth="1" collapsed="1"/>
    <col min="31" max="31" width="14.54296875" style="4" customWidth="1"/>
    <col min="32" max="37" width="18.54296875" style="4" customWidth="1" outlineLevel="1"/>
    <col min="38" max="40" width="14.54296875" style="4" customWidth="1"/>
    <col min="41" max="41" width="12" style="4" customWidth="1"/>
    <col min="42" max="42" width="34.1796875" style="174" customWidth="1"/>
    <col min="43" max="43" width="17.81640625" style="3" customWidth="1"/>
    <col min="44" max="49" width="15.54296875" style="4" customWidth="1" outlineLevel="1"/>
    <col min="50" max="50" width="17.81640625" style="3" customWidth="1"/>
    <col min="51" max="51" width="17.7265625" style="3" customWidth="1"/>
    <col min="52" max="53" width="18.54296875" style="4" customWidth="1"/>
    <col min="54" max="65" width="18.54296875" style="186" customWidth="1" outlineLevel="1"/>
    <col min="66" max="66" width="14.54296875" style="4" customWidth="1"/>
    <col min="67" max="67" width="18.54296875" style="4" customWidth="1"/>
    <col min="68" max="68" width="17.81640625" style="4" customWidth="1"/>
    <col min="69" max="69" width="13" style="2" customWidth="1"/>
    <col min="70" max="70" width="11.81640625" style="13" bestFit="1" customWidth="1"/>
    <col min="71" max="71" width="17" style="13" customWidth="1"/>
    <col min="72" max="72" width="25.54296875" style="13" customWidth="1"/>
    <col min="73" max="73" width="23.54296875" style="13" bestFit="1" customWidth="1"/>
    <col min="74" max="75" width="18.81640625" style="2" customWidth="1"/>
    <col min="76" max="76" width="12.1796875" style="2" customWidth="1"/>
    <col min="77" max="16384" width="9.1796875" style="2"/>
  </cols>
  <sheetData>
    <row r="1" spans="1:253" s="1" customFormat="1" ht="30.65" customHeight="1">
      <c r="A1" s="72"/>
      <c r="B1" s="73" t="s">
        <v>269</v>
      </c>
      <c r="C1" s="51"/>
      <c r="D1" s="51"/>
      <c r="E1" s="52" t="s">
        <v>1</v>
      </c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 t="s">
        <v>2</v>
      </c>
      <c r="W1" s="51" t="s">
        <v>2</v>
      </c>
      <c r="X1" s="51"/>
      <c r="Y1" s="51"/>
      <c r="Z1" s="51"/>
      <c r="AA1" s="51"/>
      <c r="AB1" s="51"/>
      <c r="AC1" s="51"/>
      <c r="AD1" s="62">
        <v>46070</v>
      </c>
      <c r="AE1" s="63">
        <f>AD1-AD44</f>
        <v>364</v>
      </c>
      <c r="AF1" s="64"/>
      <c r="AG1" s="53" t="s">
        <v>2</v>
      </c>
      <c r="AH1" s="187" t="s">
        <v>2</v>
      </c>
      <c r="AI1" s="188" t="s">
        <v>247</v>
      </c>
      <c r="AJ1" s="189">
        <v>5.5</v>
      </c>
      <c r="AK1" s="189">
        <v>5.5</v>
      </c>
      <c r="AL1" s="190" t="s">
        <v>248</v>
      </c>
      <c r="AM1" s="189">
        <v>6</v>
      </c>
      <c r="AN1" s="65">
        <f ca="1">TODAY()</f>
        <v>46203</v>
      </c>
      <c r="AO1" s="53" t="s">
        <v>2</v>
      </c>
      <c r="AP1" s="162" t="s">
        <v>2</v>
      </c>
      <c r="AQ1" s="57" t="s">
        <v>2</v>
      </c>
      <c r="AR1" s="58" t="s">
        <v>2</v>
      </c>
      <c r="AS1" s="53"/>
      <c r="AT1" s="53"/>
      <c r="AU1" s="53"/>
      <c r="AV1" s="53"/>
      <c r="AW1" s="53"/>
      <c r="AX1" s="53" t="s">
        <v>2</v>
      </c>
      <c r="AY1" s="59" t="s">
        <v>2</v>
      </c>
      <c r="AZ1" s="53"/>
      <c r="BA1" s="53" t="s">
        <v>2</v>
      </c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163"/>
      <c r="BN1" s="53"/>
      <c r="BO1" s="53"/>
      <c r="BP1" s="53"/>
      <c r="BQ1" s="53"/>
      <c r="BR1" s="10"/>
      <c r="BS1" s="16"/>
      <c r="BT1" s="10"/>
      <c r="BU1" s="10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</row>
    <row r="2" spans="1:253" s="1" customFormat="1" ht="6" customHeight="1" thickBot="1">
      <c r="A2" s="72"/>
      <c r="B2" s="6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163"/>
      <c r="AQ2" s="53"/>
      <c r="AR2" s="53"/>
      <c r="AS2" s="53"/>
      <c r="AT2" s="53"/>
      <c r="AU2" s="53"/>
      <c r="AV2" s="53"/>
      <c r="AW2" s="53"/>
      <c r="AX2" s="61"/>
      <c r="AY2" s="61"/>
      <c r="AZ2" s="61"/>
      <c r="BA2" s="61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163"/>
      <c r="BN2" s="53"/>
      <c r="BO2" s="53"/>
      <c r="BP2" s="53"/>
      <c r="BQ2" s="53"/>
      <c r="BR2" s="11" t="s">
        <v>2</v>
      </c>
      <c r="BS2" s="10"/>
      <c r="BT2" s="10"/>
      <c r="BU2" s="10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</row>
    <row r="3" spans="1:253" s="1" customFormat="1" ht="18" thickBot="1">
      <c r="A3" s="74"/>
      <c r="B3" s="220" t="s">
        <v>3</v>
      </c>
      <c r="C3" s="212" t="s">
        <v>4</v>
      </c>
      <c r="D3" s="212" t="s">
        <v>5</v>
      </c>
      <c r="E3" s="212" t="s">
        <v>6</v>
      </c>
      <c r="F3" s="212" t="s">
        <v>7</v>
      </c>
      <c r="G3" s="212" t="s">
        <v>8</v>
      </c>
      <c r="H3" s="212" t="s">
        <v>9</v>
      </c>
      <c r="I3" s="212" t="s">
        <v>10</v>
      </c>
      <c r="J3" s="212" t="s">
        <v>11</v>
      </c>
      <c r="K3" s="215" t="s">
        <v>12</v>
      </c>
      <c r="L3" s="214" t="s">
        <v>13</v>
      </c>
      <c r="M3" s="212"/>
      <c r="N3" s="212"/>
      <c r="O3" s="212" t="s">
        <v>14</v>
      </c>
      <c r="P3" s="212"/>
      <c r="Q3" s="212"/>
      <c r="R3" s="212" t="s">
        <v>15</v>
      </c>
      <c r="S3" s="212"/>
      <c r="T3" s="212"/>
      <c r="U3" s="212" t="s">
        <v>16</v>
      </c>
      <c r="V3" s="212"/>
      <c r="W3" s="212"/>
      <c r="X3" s="212" t="s">
        <v>17</v>
      </c>
      <c r="Y3" s="212"/>
      <c r="Z3" s="212"/>
      <c r="AA3" s="212" t="s">
        <v>18</v>
      </c>
      <c r="AB3" s="212"/>
      <c r="AC3" s="215"/>
      <c r="AD3" s="226" t="s">
        <v>19</v>
      </c>
      <c r="AE3" s="212" t="s">
        <v>20</v>
      </c>
      <c r="AF3" s="41" t="s">
        <v>2</v>
      </c>
      <c r="AG3" s="41" t="s">
        <v>2</v>
      </c>
      <c r="AH3" s="75" t="s">
        <v>21</v>
      </c>
      <c r="AI3" s="41" t="s">
        <v>2</v>
      </c>
      <c r="AJ3" s="41" t="s">
        <v>2</v>
      </c>
      <c r="AK3" s="41" t="s">
        <v>2</v>
      </c>
      <c r="AL3" s="212" t="s">
        <v>22</v>
      </c>
      <c r="AM3" s="212" t="s">
        <v>23</v>
      </c>
      <c r="AN3" s="212" t="s">
        <v>24</v>
      </c>
      <c r="AO3" s="212" t="s">
        <v>25</v>
      </c>
      <c r="AP3" s="229" t="s">
        <v>26</v>
      </c>
      <c r="AQ3" s="228" t="s">
        <v>27</v>
      </c>
      <c r="AR3" s="46" t="s">
        <v>2</v>
      </c>
      <c r="AS3" s="47" t="s">
        <v>2</v>
      </c>
      <c r="AT3" s="76" t="s">
        <v>28</v>
      </c>
      <c r="AU3" s="47" t="s">
        <v>2</v>
      </c>
      <c r="AV3" s="48" t="s">
        <v>2</v>
      </c>
      <c r="AW3" s="48" t="s">
        <v>2</v>
      </c>
      <c r="AX3" s="216" t="s">
        <v>29</v>
      </c>
      <c r="AY3" s="231" t="s">
        <v>30</v>
      </c>
      <c r="AZ3" s="223" t="s">
        <v>31</v>
      </c>
      <c r="BA3" s="225" t="s">
        <v>32</v>
      </c>
      <c r="BB3" s="175" t="s">
        <v>2</v>
      </c>
      <c r="BC3" s="176" t="s">
        <v>2</v>
      </c>
      <c r="BD3" s="176" t="s">
        <v>2</v>
      </c>
      <c r="BE3" s="176" t="s">
        <v>2</v>
      </c>
      <c r="BF3" s="176" t="s">
        <v>2</v>
      </c>
      <c r="BG3" s="177" t="s">
        <v>33</v>
      </c>
      <c r="BH3" s="176" t="s">
        <v>2</v>
      </c>
      <c r="BI3" s="176" t="s">
        <v>2</v>
      </c>
      <c r="BJ3" s="176" t="s">
        <v>2</v>
      </c>
      <c r="BK3" s="176" t="s">
        <v>2</v>
      </c>
      <c r="BL3" s="176" t="s">
        <v>2</v>
      </c>
      <c r="BM3" s="178" t="s">
        <v>2</v>
      </c>
      <c r="BN3" s="233" t="s">
        <v>34</v>
      </c>
      <c r="BO3" s="216" t="s">
        <v>35</v>
      </c>
      <c r="BP3" s="218" t="s">
        <v>36</v>
      </c>
      <c r="BQ3" s="210" t="s">
        <v>37</v>
      </c>
      <c r="BR3" s="11"/>
      <c r="BS3" s="10"/>
      <c r="BT3" s="10"/>
      <c r="BU3" s="10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</row>
    <row r="4" spans="1:253" s="6" customFormat="1" ht="40" customHeight="1" thickBot="1">
      <c r="A4" s="77"/>
      <c r="B4" s="221"/>
      <c r="C4" s="213"/>
      <c r="D4" s="213"/>
      <c r="E4" s="213"/>
      <c r="F4" s="213"/>
      <c r="G4" s="213"/>
      <c r="H4" s="213"/>
      <c r="I4" s="213"/>
      <c r="J4" s="213"/>
      <c r="K4" s="222"/>
      <c r="L4" s="78" t="s">
        <v>38</v>
      </c>
      <c r="M4" s="79" t="s">
        <v>39</v>
      </c>
      <c r="N4" s="79" t="s">
        <v>40</v>
      </c>
      <c r="O4" s="79" t="s">
        <v>38</v>
      </c>
      <c r="P4" s="79" t="s">
        <v>39</v>
      </c>
      <c r="Q4" s="79" t="s">
        <v>40</v>
      </c>
      <c r="R4" s="79" t="s">
        <v>38</v>
      </c>
      <c r="S4" s="79" t="s">
        <v>39</v>
      </c>
      <c r="T4" s="79" t="s">
        <v>40</v>
      </c>
      <c r="U4" s="79" t="s">
        <v>38</v>
      </c>
      <c r="V4" s="79" t="s">
        <v>39</v>
      </c>
      <c r="W4" s="79" t="s">
        <v>40</v>
      </c>
      <c r="X4" s="79" t="s">
        <v>38</v>
      </c>
      <c r="Y4" s="79" t="s">
        <v>39</v>
      </c>
      <c r="Z4" s="79" t="s">
        <v>40</v>
      </c>
      <c r="AA4" s="79" t="s">
        <v>38</v>
      </c>
      <c r="AB4" s="79" t="s">
        <v>39</v>
      </c>
      <c r="AC4" s="80" t="s">
        <v>40</v>
      </c>
      <c r="AD4" s="227"/>
      <c r="AE4" s="213"/>
      <c r="AF4" s="43" t="s">
        <v>13</v>
      </c>
      <c r="AG4" s="44" t="s">
        <v>14</v>
      </c>
      <c r="AH4" s="44" t="s">
        <v>15</v>
      </c>
      <c r="AI4" s="44" t="s">
        <v>16</v>
      </c>
      <c r="AJ4" s="45" t="s">
        <v>17</v>
      </c>
      <c r="AK4" s="45" t="s">
        <v>18</v>
      </c>
      <c r="AL4" s="213"/>
      <c r="AM4" s="213"/>
      <c r="AN4" s="213"/>
      <c r="AO4" s="213"/>
      <c r="AP4" s="230"/>
      <c r="AQ4" s="227"/>
      <c r="AR4" s="49" t="s">
        <v>13</v>
      </c>
      <c r="AS4" s="49" t="s">
        <v>14</v>
      </c>
      <c r="AT4" s="49" t="s">
        <v>15</v>
      </c>
      <c r="AU4" s="49" t="s">
        <v>16</v>
      </c>
      <c r="AV4" s="49" t="s">
        <v>17</v>
      </c>
      <c r="AW4" s="49" t="s">
        <v>18</v>
      </c>
      <c r="AX4" s="217"/>
      <c r="AY4" s="232"/>
      <c r="AZ4" s="224"/>
      <c r="BA4" s="219"/>
      <c r="BB4" s="179">
        <v>46023</v>
      </c>
      <c r="BC4" s="179">
        <v>46054</v>
      </c>
      <c r="BD4" s="179">
        <v>46082</v>
      </c>
      <c r="BE4" s="179">
        <v>46113</v>
      </c>
      <c r="BF4" s="179">
        <v>46143</v>
      </c>
      <c r="BG4" s="179">
        <v>46174</v>
      </c>
      <c r="BH4" s="179">
        <v>46204</v>
      </c>
      <c r="BI4" s="179">
        <v>46235</v>
      </c>
      <c r="BJ4" s="179">
        <v>46266</v>
      </c>
      <c r="BK4" s="179">
        <v>46296</v>
      </c>
      <c r="BL4" s="179">
        <v>46327</v>
      </c>
      <c r="BM4" s="179">
        <v>46357</v>
      </c>
      <c r="BN4" s="234"/>
      <c r="BO4" s="219"/>
      <c r="BP4" s="219"/>
      <c r="BQ4" s="211"/>
      <c r="BR4" s="12" t="s">
        <v>2</v>
      </c>
      <c r="BS4" s="12"/>
      <c r="BT4" s="12"/>
      <c r="BU4" s="12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7"/>
    </row>
    <row r="5" spans="1:253" ht="34" customHeight="1">
      <c r="A5" s="81"/>
      <c r="B5" s="82">
        <v>1</v>
      </c>
      <c r="C5" s="83" t="s">
        <v>41</v>
      </c>
      <c r="D5" s="84" t="s">
        <v>42</v>
      </c>
      <c r="E5" s="83" t="s">
        <v>43</v>
      </c>
      <c r="F5" s="33" t="s">
        <v>44</v>
      </c>
      <c r="G5" s="23" t="s">
        <v>45</v>
      </c>
      <c r="H5" s="85" t="s">
        <v>46</v>
      </c>
      <c r="I5" s="85" t="s">
        <v>47</v>
      </c>
      <c r="J5" s="23" t="s">
        <v>48</v>
      </c>
      <c r="K5" s="23" t="s">
        <v>49</v>
      </c>
      <c r="L5" s="86">
        <v>46065</v>
      </c>
      <c r="M5" s="86">
        <v>46139</v>
      </c>
      <c r="N5" s="87" t="s">
        <v>2</v>
      </c>
      <c r="O5" s="17"/>
      <c r="P5" s="31"/>
      <c r="Q5" s="17"/>
      <c r="R5" s="31"/>
      <c r="S5" s="17"/>
      <c r="T5" s="31"/>
      <c r="U5" s="17"/>
      <c r="V5" s="31"/>
      <c r="W5" s="88"/>
      <c r="X5" s="89"/>
      <c r="Y5" s="30"/>
      <c r="Z5" s="31"/>
      <c r="AA5" s="32"/>
      <c r="AB5" s="31"/>
      <c r="AC5" s="17"/>
      <c r="AD5" s="86">
        <v>45657</v>
      </c>
      <c r="AE5" s="26">
        <v>365</v>
      </c>
      <c r="AF5" s="26">
        <v>0</v>
      </c>
      <c r="AG5" s="26">
        <v>0</v>
      </c>
      <c r="AH5" s="26">
        <v>0</v>
      </c>
      <c r="AI5" s="26">
        <v>0</v>
      </c>
      <c r="AJ5" s="26">
        <v>0</v>
      </c>
      <c r="AK5" s="26">
        <v>0</v>
      </c>
      <c r="AL5" s="26">
        <f t="shared" ref="AL5:AL11" si="0">AF5+AG5+AH5+AI5+AK5</f>
        <v>0</v>
      </c>
      <c r="AM5" s="37">
        <v>0</v>
      </c>
      <c r="AN5" s="25">
        <v>46006</v>
      </c>
      <c r="AO5" s="27">
        <f t="shared" ref="AO5:AO11" ca="1" si="1">AN5-$AN$1</f>
        <v>-197</v>
      </c>
      <c r="AP5" s="164" t="s">
        <v>50</v>
      </c>
      <c r="AQ5" s="90">
        <v>112387198.06999999</v>
      </c>
      <c r="AR5" s="91">
        <v>0</v>
      </c>
      <c r="AS5" s="91">
        <v>0</v>
      </c>
      <c r="AT5" s="91">
        <v>0</v>
      </c>
      <c r="AU5" s="91">
        <v>0</v>
      </c>
      <c r="AV5" s="91">
        <v>0</v>
      </c>
      <c r="AW5" s="91">
        <v>0</v>
      </c>
      <c r="AX5" s="92">
        <f t="shared" ref="AX5:AX24" si="2">AR5+AS5+AT5+AU5+AW5</f>
        <v>0</v>
      </c>
      <c r="AY5" s="92">
        <f t="shared" ref="AY5:AY27" si="3">AQ5+AX5</f>
        <v>112387198.06999999</v>
      </c>
      <c r="AZ5" s="93">
        <v>4664068.72</v>
      </c>
      <c r="BA5" s="93">
        <f t="shared" ref="BA5:BA32" si="4">SUM(BB5:BM5)</f>
        <v>0</v>
      </c>
      <c r="BB5" s="180">
        <v>0</v>
      </c>
      <c r="BC5" s="180">
        <v>0</v>
      </c>
      <c r="BD5" s="180">
        <v>0</v>
      </c>
      <c r="BE5" s="180">
        <v>0</v>
      </c>
      <c r="BF5" s="180">
        <v>0</v>
      </c>
      <c r="BG5" s="180">
        <v>0</v>
      </c>
      <c r="BH5" s="180">
        <v>0</v>
      </c>
      <c r="BI5" s="180">
        <v>0</v>
      </c>
      <c r="BJ5" s="180">
        <v>0</v>
      </c>
      <c r="BK5" s="180">
        <v>0</v>
      </c>
      <c r="BL5" s="180">
        <v>0</v>
      </c>
      <c r="BM5" s="180">
        <v>0</v>
      </c>
      <c r="BN5" s="37">
        <v>2</v>
      </c>
      <c r="BO5" s="93">
        <f t="shared" ref="BO5:BO24" si="5">AZ5+BA5</f>
        <v>4664068.72</v>
      </c>
      <c r="BP5" s="93">
        <f t="shared" ref="BP5:BP24" si="6">AY5-BO5</f>
        <v>107723129.34999999</v>
      </c>
      <c r="BQ5" s="29">
        <f t="shared" ref="BQ5:BQ30" si="7">BO5/AY5</f>
        <v>4.1500000000845291E-2</v>
      </c>
      <c r="BR5" s="15"/>
      <c r="BS5" s="94"/>
    </row>
    <row r="6" spans="1:253" ht="31.5" customHeight="1">
      <c r="A6" s="81"/>
      <c r="B6" s="82">
        <v>2</v>
      </c>
      <c r="C6" s="50" t="s">
        <v>51</v>
      </c>
      <c r="D6" s="21" t="s">
        <v>52</v>
      </c>
      <c r="E6" s="20" t="s">
        <v>53</v>
      </c>
      <c r="F6" s="23" t="s">
        <v>54</v>
      </c>
      <c r="G6" s="23" t="s">
        <v>55</v>
      </c>
      <c r="H6" s="23" t="s">
        <v>56</v>
      </c>
      <c r="I6" s="23" t="s">
        <v>47</v>
      </c>
      <c r="J6" s="23" t="s">
        <v>57</v>
      </c>
      <c r="K6" s="23" t="s">
        <v>56</v>
      </c>
      <c r="L6" s="17"/>
      <c r="M6" s="17"/>
      <c r="N6" s="31"/>
      <c r="O6" s="17"/>
      <c r="P6" s="31"/>
      <c r="Q6" s="17"/>
      <c r="R6" s="31"/>
      <c r="S6" s="17"/>
      <c r="T6" s="31"/>
      <c r="U6" s="17"/>
      <c r="V6" s="31"/>
      <c r="W6" s="30"/>
      <c r="X6" s="31"/>
      <c r="Y6" s="30"/>
      <c r="Z6" s="31"/>
      <c r="AA6" s="32"/>
      <c r="AB6" s="31"/>
      <c r="AC6" s="17"/>
      <c r="AD6" s="22">
        <v>45572</v>
      </c>
      <c r="AE6" s="18">
        <v>535</v>
      </c>
      <c r="AF6" s="95">
        <v>0</v>
      </c>
      <c r="AG6" s="18">
        <v>0</v>
      </c>
      <c r="AH6" s="18">
        <v>0</v>
      </c>
      <c r="AI6" s="18">
        <v>0</v>
      </c>
      <c r="AJ6" s="18">
        <v>0</v>
      </c>
      <c r="AK6" s="18">
        <v>0</v>
      </c>
      <c r="AL6" s="26">
        <f t="shared" si="0"/>
        <v>0</v>
      </c>
      <c r="AM6" s="37">
        <v>0</v>
      </c>
      <c r="AN6" s="25">
        <f t="shared" ref="AN6:AN11" si="8">AD6+AE6+AL6</f>
        <v>46107</v>
      </c>
      <c r="AO6" s="27">
        <f t="shared" ca="1" si="1"/>
        <v>-96</v>
      </c>
      <c r="AP6" s="165" t="s">
        <v>262</v>
      </c>
      <c r="AQ6" s="19">
        <v>1988858.27</v>
      </c>
      <c r="AR6" s="96">
        <v>0</v>
      </c>
      <c r="AS6" s="91">
        <v>0</v>
      </c>
      <c r="AT6" s="91">
        <v>0</v>
      </c>
      <c r="AU6" s="91">
        <v>0</v>
      </c>
      <c r="AV6" s="91">
        <v>0</v>
      </c>
      <c r="AW6" s="91">
        <v>0</v>
      </c>
      <c r="AX6" s="28">
        <f t="shared" si="2"/>
        <v>0</v>
      </c>
      <c r="AY6" s="28">
        <f t="shared" si="3"/>
        <v>1988858.27</v>
      </c>
      <c r="AZ6" s="19">
        <v>142367.41</v>
      </c>
      <c r="BA6" s="19">
        <f t="shared" si="4"/>
        <v>0</v>
      </c>
      <c r="BB6" s="181">
        <v>0</v>
      </c>
      <c r="BC6" s="181">
        <v>0</v>
      </c>
      <c r="BD6" s="181">
        <v>0</v>
      </c>
      <c r="BE6" s="181">
        <v>0</v>
      </c>
      <c r="BF6" s="181">
        <v>0</v>
      </c>
      <c r="BG6" s="181">
        <v>0</v>
      </c>
      <c r="BH6" s="181">
        <v>0</v>
      </c>
      <c r="BI6" s="181">
        <v>0</v>
      </c>
      <c r="BJ6" s="181">
        <v>0</v>
      </c>
      <c r="BK6" s="181">
        <v>0</v>
      </c>
      <c r="BL6" s="181">
        <v>0</v>
      </c>
      <c r="BM6" s="181">
        <v>0</v>
      </c>
      <c r="BN6" s="37">
        <v>9</v>
      </c>
      <c r="BO6" s="19">
        <f t="shared" si="5"/>
        <v>142367.41</v>
      </c>
      <c r="BP6" s="19">
        <f t="shared" si="6"/>
        <v>1846490.86</v>
      </c>
      <c r="BQ6" s="29">
        <f t="shared" si="7"/>
        <v>7.1582481339909659E-2</v>
      </c>
      <c r="BR6" s="15"/>
      <c r="BS6" s="94"/>
      <c r="HF6" t="s">
        <v>2</v>
      </c>
    </row>
    <row r="7" spans="1:253" ht="34" customHeight="1">
      <c r="A7" s="81"/>
      <c r="B7" s="82">
        <v>3</v>
      </c>
      <c r="C7" s="50" t="s">
        <v>62</v>
      </c>
      <c r="D7" s="21" t="s">
        <v>63</v>
      </c>
      <c r="E7" s="20" t="s">
        <v>64</v>
      </c>
      <c r="F7" s="33" t="s">
        <v>44</v>
      </c>
      <c r="G7" s="23" t="s">
        <v>65</v>
      </c>
      <c r="H7" s="23" t="s">
        <v>66</v>
      </c>
      <c r="I7" s="23" t="s">
        <v>47</v>
      </c>
      <c r="J7" s="23" t="s">
        <v>67</v>
      </c>
      <c r="K7" s="23" t="s">
        <v>2</v>
      </c>
      <c r="L7" s="17"/>
      <c r="M7" s="17"/>
      <c r="N7" s="31"/>
      <c r="O7" s="17"/>
      <c r="P7" s="31"/>
      <c r="Q7" s="17"/>
      <c r="R7" s="31"/>
      <c r="S7" s="17"/>
      <c r="T7" s="31"/>
      <c r="U7" s="17"/>
      <c r="V7" s="31"/>
      <c r="W7" s="30"/>
      <c r="X7" s="31"/>
      <c r="Y7" s="30"/>
      <c r="Z7" s="31"/>
      <c r="AA7" s="32"/>
      <c r="AB7" s="31"/>
      <c r="AC7" s="17"/>
      <c r="AD7" s="22">
        <v>45909</v>
      </c>
      <c r="AE7" s="18">
        <v>113</v>
      </c>
      <c r="AF7" s="98">
        <v>90</v>
      </c>
      <c r="AG7" s="18">
        <v>0</v>
      </c>
      <c r="AH7" s="18">
        <v>0</v>
      </c>
      <c r="AI7" s="18">
        <v>0</v>
      </c>
      <c r="AJ7" s="18">
        <v>0</v>
      </c>
      <c r="AK7" s="18">
        <v>0</v>
      </c>
      <c r="AL7" s="26">
        <f t="shared" si="0"/>
        <v>90</v>
      </c>
      <c r="AM7" s="37">
        <v>1</v>
      </c>
      <c r="AN7" s="25">
        <f t="shared" si="8"/>
        <v>46112</v>
      </c>
      <c r="AO7" s="27">
        <f t="shared" ca="1" si="1"/>
        <v>-91</v>
      </c>
      <c r="AP7" s="165" t="s">
        <v>260</v>
      </c>
      <c r="AQ7" s="90">
        <v>7600</v>
      </c>
      <c r="AR7" s="100">
        <v>0</v>
      </c>
      <c r="AS7" s="91">
        <v>0</v>
      </c>
      <c r="AT7" s="91">
        <v>0</v>
      </c>
      <c r="AU7" s="91">
        <v>0</v>
      </c>
      <c r="AV7" s="91">
        <v>0</v>
      </c>
      <c r="AW7" s="91">
        <v>0</v>
      </c>
      <c r="AX7" s="92">
        <f t="shared" si="2"/>
        <v>0</v>
      </c>
      <c r="AY7" s="92">
        <f t="shared" si="3"/>
        <v>7600</v>
      </c>
      <c r="AZ7" s="93">
        <v>3800</v>
      </c>
      <c r="BA7" s="93">
        <f t="shared" si="4"/>
        <v>3800</v>
      </c>
      <c r="BB7" s="180">
        <v>0</v>
      </c>
      <c r="BC7" s="180">
        <v>3800</v>
      </c>
      <c r="BD7" s="180">
        <v>0</v>
      </c>
      <c r="BE7" s="180">
        <v>0</v>
      </c>
      <c r="BF7" s="180">
        <v>0</v>
      </c>
      <c r="BG7" s="180">
        <v>0</v>
      </c>
      <c r="BH7" s="180">
        <v>0</v>
      </c>
      <c r="BI7" s="180">
        <v>0</v>
      </c>
      <c r="BJ7" s="180">
        <v>0</v>
      </c>
      <c r="BK7" s="180">
        <v>0</v>
      </c>
      <c r="BL7" s="180">
        <v>0</v>
      </c>
      <c r="BM7" s="180">
        <v>0</v>
      </c>
      <c r="BN7" s="37">
        <v>2</v>
      </c>
      <c r="BO7" s="93">
        <f t="shared" si="5"/>
        <v>7600</v>
      </c>
      <c r="BP7" s="93">
        <f t="shared" si="6"/>
        <v>0</v>
      </c>
      <c r="BQ7" s="29">
        <f t="shared" si="7"/>
        <v>1</v>
      </c>
      <c r="BR7" s="15"/>
      <c r="BS7" s="94"/>
      <c r="HF7" s="2" t="s">
        <v>2</v>
      </c>
    </row>
    <row r="8" spans="1:253" ht="34" customHeight="1">
      <c r="A8" s="81"/>
      <c r="B8" s="82">
        <v>4</v>
      </c>
      <c r="C8" s="50" t="s">
        <v>76</v>
      </c>
      <c r="D8" s="21" t="s">
        <v>77</v>
      </c>
      <c r="E8" s="20" t="s">
        <v>78</v>
      </c>
      <c r="F8" s="33" t="s">
        <v>44</v>
      </c>
      <c r="G8" s="23" t="s">
        <v>79</v>
      </c>
      <c r="H8" s="23" t="s">
        <v>80</v>
      </c>
      <c r="I8" s="23" t="s">
        <v>47</v>
      </c>
      <c r="J8" s="23" t="s">
        <v>81</v>
      </c>
      <c r="K8" s="23" t="s">
        <v>82</v>
      </c>
      <c r="L8" s="22">
        <v>45987</v>
      </c>
      <c r="M8" s="22">
        <v>46001</v>
      </c>
      <c r="N8" s="22">
        <v>46003</v>
      </c>
      <c r="O8" s="22" t="s">
        <v>47</v>
      </c>
      <c r="P8" s="22" t="s">
        <v>47</v>
      </c>
      <c r="Q8" s="22">
        <v>46003</v>
      </c>
      <c r="R8" s="22" t="s">
        <v>47</v>
      </c>
      <c r="S8" s="97" t="s">
        <v>2</v>
      </c>
      <c r="T8" s="97" t="s">
        <v>2</v>
      </c>
      <c r="U8" s="17"/>
      <c r="V8" s="31"/>
      <c r="W8" s="30"/>
      <c r="X8" s="31"/>
      <c r="Y8" s="30"/>
      <c r="Z8" s="31"/>
      <c r="AA8" s="32"/>
      <c r="AB8" s="31"/>
      <c r="AC8" s="17"/>
      <c r="AD8" s="22">
        <v>45433</v>
      </c>
      <c r="AE8" s="18">
        <v>183</v>
      </c>
      <c r="AF8" s="98">
        <v>180</v>
      </c>
      <c r="AG8" s="98">
        <v>180</v>
      </c>
      <c r="AH8" s="98">
        <v>180</v>
      </c>
      <c r="AI8" s="18">
        <v>0</v>
      </c>
      <c r="AJ8" s="18">
        <v>0</v>
      </c>
      <c r="AK8" s="18">
        <v>0</v>
      </c>
      <c r="AL8" s="26">
        <f t="shared" si="0"/>
        <v>540</v>
      </c>
      <c r="AM8" s="37">
        <v>3</v>
      </c>
      <c r="AN8" s="25">
        <f t="shared" si="8"/>
        <v>46156</v>
      </c>
      <c r="AO8" s="27">
        <f t="shared" ca="1" si="1"/>
        <v>-47</v>
      </c>
      <c r="AP8" s="166" t="s">
        <v>263</v>
      </c>
      <c r="AQ8" s="19">
        <v>259850</v>
      </c>
      <c r="AR8" s="100">
        <v>96000</v>
      </c>
      <c r="AS8" s="100">
        <v>96000</v>
      </c>
      <c r="AT8" s="100">
        <v>14406</v>
      </c>
      <c r="AU8" s="91">
        <v>0</v>
      </c>
      <c r="AV8" s="91">
        <v>0</v>
      </c>
      <c r="AW8" s="91">
        <v>0</v>
      </c>
      <c r="AX8" s="28">
        <f t="shared" si="2"/>
        <v>206406</v>
      </c>
      <c r="AY8" s="28">
        <f t="shared" si="3"/>
        <v>466256</v>
      </c>
      <c r="AZ8" s="19">
        <v>350016</v>
      </c>
      <c r="BA8" s="19">
        <f t="shared" si="4"/>
        <v>88560</v>
      </c>
      <c r="BB8" s="181">
        <v>22140</v>
      </c>
      <c r="BC8" s="181">
        <v>22140</v>
      </c>
      <c r="BD8" s="181">
        <v>22140</v>
      </c>
      <c r="BE8" s="181">
        <v>22140</v>
      </c>
      <c r="BF8" s="181">
        <v>0</v>
      </c>
      <c r="BG8" s="181">
        <v>0</v>
      </c>
      <c r="BH8" s="181">
        <v>0</v>
      </c>
      <c r="BI8" s="181">
        <v>0</v>
      </c>
      <c r="BJ8" s="181">
        <v>0</v>
      </c>
      <c r="BK8" s="181">
        <v>0</v>
      </c>
      <c r="BL8" s="181">
        <v>0</v>
      </c>
      <c r="BM8" s="181">
        <v>0</v>
      </c>
      <c r="BN8" s="37">
        <v>24</v>
      </c>
      <c r="BO8" s="19">
        <f t="shared" si="5"/>
        <v>438576</v>
      </c>
      <c r="BP8" s="19">
        <f t="shared" si="6"/>
        <v>27680</v>
      </c>
      <c r="BQ8" s="29">
        <f t="shared" si="7"/>
        <v>0.94063347174084622</v>
      </c>
      <c r="BR8" s="15"/>
      <c r="BS8" s="94"/>
    </row>
    <row r="9" spans="1:253" ht="34" customHeight="1">
      <c r="A9" s="81"/>
      <c r="B9" s="82">
        <v>5</v>
      </c>
      <c r="C9" s="50" t="s">
        <v>83</v>
      </c>
      <c r="D9" s="21" t="s">
        <v>84</v>
      </c>
      <c r="E9" s="20" t="s">
        <v>85</v>
      </c>
      <c r="F9" s="23" t="s">
        <v>54</v>
      </c>
      <c r="G9" s="23" t="s">
        <v>86</v>
      </c>
      <c r="H9" s="23" t="s">
        <v>87</v>
      </c>
      <c r="I9" s="23" t="s">
        <v>47</v>
      </c>
      <c r="J9" s="23" t="s">
        <v>88</v>
      </c>
      <c r="K9" s="23" t="s">
        <v>47</v>
      </c>
      <c r="L9" s="22">
        <v>45987</v>
      </c>
      <c r="M9" s="22">
        <v>46001</v>
      </c>
      <c r="N9" s="22">
        <v>46003</v>
      </c>
      <c r="O9" s="22" t="s">
        <v>47</v>
      </c>
      <c r="P9" s="22" t="s">
        <v>47</v>
      </c>
      <c r="Q9" s="22">
        <v>46003</v>
      </c>
      <c r="R9" s="22" t="s">
        <v>47</v>
      </c>
      <c r="S9" s="97" t="s">
        <v>2</v>
      </c>
      <c r="T9" s="97" t="s">
        <v>2</v>
      </c>
      <c r="U9" s="17"/>
      <c r="V9" s="31"/>
      <c r="W9" s="30"/>
      <c r="X9" s="31"/>
      <c r="Y9" s="30"/>
      <c r="Z9" s="31"/>
      <c r="AA9" s="32"/>
      <c r="AB9" s="31"/>
      <c r="AC9" s="17"/>
      <c r="AD9" s="22">
        <v>45733</v>
      </c>
      <c r="AE9" s="18">
        <v>180</v>
      </c>
      <c r="AF9" s="98">
        <v>245</v>
      </c>
      <c r="AG9" s="99">
        <v>0</v>
      </c>
      <c r="AH9" s="18">
        <v>0</v>
      </c>
      <c r="AI9" s="18">
        <v>0</v>
      </c>
      <c r="AJ9" s="18">
        <v>0</v>
      </c>
      <c r="AK9" s="18">
        <v>0</v>
      </c>
      <c r="AL9" s="26">
        <f t="shared" si="0"/>
        <v>245</v>
      </c>
      <c r="AM9" s="37">
        <v>1</v>
      </c>
      <c r="AN9" s="25">
        <f t="shared" si="8"/>
        <v>46158</v>
      </c>
      <c r="AO9" s="27">
        <f t="shared" ca="1" si="1"/>
        <v>-45</v>
      </c>
      <c r="AP9" s="165" t="s">
        <v>89</v>
      </c>
      <c r="AQ9" s="19">
        <v>279890.39</v>
      </c>
      <c r="AR9" s="100">
        <v>298045.92000000004</v>
      </c>
      <c r="AS9" s="96">
        <v>0</v>
      </c>
      <c r="AT9" s="91">
        <v>0</v>
      </c>
      <c r="AU9" s="91">
        <v>0</v>
      </c>
      <c r="AV9" s="91">
        <v>0</v>
      </c>
      <c r="AW9" s="91">
        <v>0</v>
      </c>
      <c r="AX9" s="28">
        <f t="shared" si="2"/>
        <v>298045.92000000004</v>
      </c>
      <c r="AY9" s="28">
        <f t="shared" si="3"/>
        <v>577936.31000000006</v>
      </c>
      <c r="AZ9" s="19">
        <v>264086.21000000002</v>
      </c>
      <c r="BA9" s="19">
        <f t="shared" si="4"/>
        <v>92537.27</v>
      </c>
      <c r="BB9" s="181">
        <v>30654.86</v>
      </c>
      <c r="BC9" s="181">
        <v>30997.71</v>
      </c>
      <c r="BD9" s="181">
        <v>30884.7</v>
      </c>
      <c r="BE9" s="181">
        <v>0</v>
      </c>
      <c r="BF9" s="181">
        <v>0</v>
      </c>
      <c r="BG9" s="181">
        <v>0</v>
      </c>
      <c r="BH9" s="181">
        <v>0</v>
      </c>
      <c r="BI9" s="181">
        <v>0</v>
      </c>
      <c r="BJ9" s="181">
        <v>0</v>
      </c>
      <c r="BK9" s="181">
        <v>0</v>
      </c>
      <c r="BL9" s="181">
        <v>0</v>
      </c>
      <c r="BM9" s="181">
        <v>0</v>
      </c>
      <c r="BN9" s="37">
        <v>12</v>
      </c>
      <c r="BO9" s="19">
        <f t="shared" si="5"/>
        <v>356623.48000000004</v>
      </c>
      <c r="BP9" s="19">
        <f t="shared" si="6"/>
        <v>221312.83000000002</v>
      </c>
      <c r="BQ9" s="29">
        <f t="shared" si="7"/>
        <v>0.61706363457246705</v>
      </c>
      <c r="BR9" s="15"/>
      <c r="BS9" s="94"/>
    </row>
    <row r="10" spans="1:253" ht="34" customHeight="1">
      <c r="A10" s="81"/>
      <c r="B10" s="82">
        <v>6</v>
      </c>
      <c r="C10" s="50" t="s">
        <v>90</v>
      </c>
      <c r="D10" s="21" t="s">
        <v>91</v>
      </c>
      <c r="E10" s="20" t="s">
        <v>92</v>
      </c>
      <c r="F10" s="33" t="s">
        <v>44</v>
      </c>
      <c r="G10" s="23" t="s">
        <v>45</v>
      </c>
      <c r="H10" s="23" t="s">
        <v>49</v>
      </c>
      <c r="I10" s="23" t="s">
        <v>47</v>
      </c>
      <c r="J10" s="23" t="s">
        <v>67</v>
      </c>
      <c r="K10" s="23" t="s">
        <v>66</v>
      </c>
      <c r="L10" s="17"/>
      <c r="M10" s="17"/>
      <c r="N10" s="31"/>
      <c r="O10" s="22" t="s">
        <v>47</v>
      </c>
      <c r="P10" s="205">
        <v>46199</v>
      </c>
      <c r="Q10" s="97" t="s">
        <v>2</v>
      </c>
      <c r="R10" s="17"/>
      <c r="S10" s="17"/>
      <c r="T10" s="31"/>
      <c r="U10" s="17"/>
      <c r="V10" s="31"/>
      <c r="W10" s="30"/>
      <c r="X10" s="31"/>
      <c r="Y10" s="30"/>
      <c r="Z10" s="31"/>
      <c r="AA10" s="32"/>
      <c r="AB10" s="31"/>
      <c r="AC10" s="17"/>
      <c r="AD10" s="22">
        <v>45701</v>
      </c>
      <c r="AE10" s="18">
        <v>364</v>
      </c>
      <c r="AF10" s="98">
        <v>120</v>
      </c>
      <c r="AG10" s="99">
        <v>0</v>
      </c>
      <c r="AH10" s="18">
        <v>0</v>
      </c>
      <c r="AI10" s="18">
        <v>0</v>
      </c>
      <c r="AJ10" s="18">
        <v>0</v>
      </c>
      <c r="AK10" s="18">
        <v>0</v>
      </c>
      <c r="AL10" s="26">
        <f t="shared" si="0"/>
        <v>120</v>
      </c>
      <c r="AM10" s="37">
        <v>1</v>
      </c>
      <c r="AN10" s="25">
        <f t="shared" si="8"/>
        <v>46185</v>
      </c>
      <c r="AO10" s="27">
        <f t="shared" ca="1" si="1"/>
        <v>-18</v>
      </c>
      <c r="AP10" s="165" t="s">
        <v>267</v>
      </c>
      <c r="AQ10" s="19">
        <v>426000</v>
      </c>
      <c r="AR10" s="100">
        <v>80000</v>
      </c>
      <c r="AS10" s="96">
        <v>0</v>
      </c>
      <c r="AT10" s="91">
        <v>0</v>
      </c>
      <c r="AU10" s="91">
        <v>0</v>
      </c>
      <c r="AV10" s="91">
        <v>0</v>
      </c>
      <c r="AW10" s="91">
        <v>0</v>
      </c>
      <c r="AX10" s="28">
        <f t="shared" si="2"/>
        <v>80000</v>
      </c>
      <c r="AY10" s="28">
        <f t="shared" si="3"/>
        <v>506000</v>
      </c>
      <c r="AZ10" s="19">
        <v>355966.62</v>
      </c>
      <c r="BA10" s="19">
        <f t="shared" si="4"/>
        <v>56099.33</v>
      </c>
      <c r="BB10" s="181">
        <v>1649.33</v>
      </c>
      <c r="BC10" s="181">
        <v>23375</v>
      </c>
      <c r="BD10" s="181">
        <v>15950</v>
      </c>
      <c r="BE10" s="181">
        <v>9075</v>
      </c>
      <c r="BF10" s="181">
        <v>6050</v>
      </c>
      <c r="BG10" s="181">
        <v>0</v>
      </c>
      <c r="BH10" s="181">
        <v>0</v>
      </c>
      <c r="BI10" s="181">
        <v>0</v>
      </c>
      <c r="BJ10" s="181">
        <v>0</v>
      </c>
      <c r="BK10" s="181">
        <v>0</v>
      </c>
      <c r="BL10" s="181">
        <v>0</v>
      </c>
      <c r="BM10" s="181">
        <v>0</v>
      </c>
      <c r="BN10" s="37">
        <v>19</v>
      </c>
      <c r="BO10" s="19">
        <f t="shared" si="5"/>
        <v>412065.95</v>
      </c>
      <c r="BP10" s="19">
        <f t="shared" si="6"/>
        <v>93934.049999999988</v>
      </c>
      <c r="BQ10" s="29">
        <f t="shared" si="7"/>
        <v>0.81435958498023719</v>
      </c>
      <c r="BR10" s="15"/>
      <c r="BS10" s="94"/>
    </row>
    <row r="11" spans="1:253" ht="34" customHeight="1">
      <c r="A11" s="81"/>
      <c r="B11" s="82">
        <v>7</v>
      </c>
      <c r="C11" s="50" t="s">
        <v>62</v>
      </c>
      <c r="D11" s="21" t="s">
        <v>68</v>
      </c>
      <c r="E11" s="20" t="s">
        <v>69</v>
      </c>
      <c r="F11" s="33" t="s">
        <v>44</v>
      </c>
      <c r="G11" s="23" t="s">
        <v>65</v>
      </c>
      <c r="H11" s="23" t="s">
        <v>66</v>
      </c>
      <c r="I11" s="23" t="s">
        <v>47</v>
      </c>
      <c r="J11" s="23" t="s">
        <v>48</v>
      </c>
      <c r="K11" s="23" t="s">
        <v>2</v>
      </c>
      <c r="L11" s="17"/>
      <c r="M11" s="17"/>
      <c r="N11" s="31"/>
      <c r="O11" s="17"/>
      <c r="P11" s="31"/>
      <c r="Q11" s="17"/>
      <c r="R11" s="31"/>
      <c r="S11" s="17"/>
      <c r="T11" s="31"/>
      <c r="U11" s="17"/>
      <c r="V11" s="31"/>
      <c r="W11" s="30"/>
      <c r="X11" s="31"/>
      <c r="Y11" s="30"/>
      <c r="Z11" s="31"/>
      <c r="AA11" s="32"/>
      <c r="AB11" s="31"/>
      <c r="AC11" s="17"/>
      <c r="AD11" s="22">
        <v>45658</v>
      </c>
      <c r="AE11" s="18">
        <v>364</v>
      </c>
      <c r="AF11" s="98">
        <v>90</v>
      </c>
      <c r="AG11" s="98">
        <v>91</v>
      </c>
      <c r="AH11" s="18">
        <v>0</v>
      </c>
      <c r="AI11" s="18">
        <v>0</v>
      </c>
      <c r="AJ11" s="18">
        <v>0</v>
      </c>
      <c r="AK11" s="18">
        <v>0</v>
      </c>
      <c r="AL11" s="26">
        <f t="shared" si="0"/>
        <v>181</v>
      </c>
      <c r="AM11" s="37">
        <v>2</v>
      </c>
      <c r="AN11" s="25">
        <f t="shared" si="8"/>
        <v>46203</v>
      </c>
      <c r="AO11" s="27">
        <f t="shared" ca="1" si="1"/>
        <v>0</v>
      </c>
      <c r="AP11" s="165" t="s">
        <v>258</v>
      </c>
      <c r="AQ11" s="90">
        <v>20700</v>
      </c>
      <c r="AR11" s="100">
        <v>5175</v>
      </c>
      <c r="AS11" s="100">
        <v>5355</v>
      </c>
      <c r="AT11" s="91">
        <v>0</v>
      </c>
      <c r="AU11" s="91">
        <v>0</v>
      </c>
      <c r="AV11" s="91">
        <v>0</v>
      </c>
      <c r="AW11" s="91">
        <v>0</v>
      </c>
      <c r="AX11" s="92">
        <f t="shared" si="2"/>
        <v>10530</v>
      </c>
      <c r="AY11" s="92">
        <f t="shared" si="3"/>
        <v>31230</v>
      </c>
      <c r="AZ11" s="93">
        <v>20700</v>
      </c>
      <c r="BA11" s="93">
        <f t="shared" si="4"/>
        <v>5175</v>
      </c>
      <c r="BB11" s="180">
        <v>0</v>
      </c>
      <c r="BC11" s="180">
        <v>0</v>
      </c>
      <c r="BD11" s="180">
        <v>5175</v>
      </c>
      <c r="BE11" s="180">
        <v>0</v>
      </c>
      <c r="BF11" s="180">
        <v>0</v>
      </c>
      <c r="BG11" s="180">
        <v>0</v>
      </c>
      <c r="BH11" s="180">
        <v>0</v>
      </c>
      <c r="BI11" s="180">
        <v>0</v>
      </c>
      <c r="BJ11" s="180">
        <v>0</v>
      </c>
      <c r="BK11" s="180">
        <v>0</v>
      </c>
      <c r="BL11" s="180">
        <v>0</v>
      </c>
      <c r="BM11" s="180">
        <v>0</v>
      </c>
      <c r="BN11" s="37">
        <v>8</v>
      </c>
      <c r="BO11" s="93">
        <f t="shared" si="5"/>
        <v>25875</v>
      </c>
      <c r="BP11" s="93">
        <f t="shared" si="6"/>
        <v>5355</v>
      </c>
      <c r="BQ11" s="29">
        <f t="shared" si="7"/>
        <v>0.82853025936599423</v>
      </c>
      <c r="BR11" s="15"/>
      <c r="BS11" s="94"/>
      <c r="HF11" s="2" t="s">
        <v>2</v>
      </c>
    </row>
    <row r="12" spans="1:253" ht="34" customHeight="1">
      <c r="A12" s="81"/>
      <c r="B12" s="82">
        <v>8</v>
      </c>
      <c r="C12" s="50" t="s">
        <v>93</v>
      </c>
      <c r="D12" s="21" t="s">
        <v>94</v>
      </c>
      <c r="E12" s="20" t="s">
        <v>95</v>
      </c>
      <c r="F12" s="33" t="s">
        <v>44</v>
      </c>
      <c r="G12" s="23" t="s">
        <v>45</v>
      </c>
      <c r="H12" s="23" t="s">
        <v>49</v>
      </c>
      <c r="I12" s="23" t="s">
        <v>47</v>
      </c>
      <c r="J12" s="23" t="s">
        <v>48</v>
      </c>
      <c r="K12" s="23" t="s">
        <v>96</v>
      </c>
      <c r="L12" s="17"/>
      <c r="M12" s="17"/>
      <c r="N12" s="31"/>
      <c r="O12" s="17"/>
      <c r="P12" s="31"/>
      <c r="Q12" s="30"/>
      <c r="R12" s="31"/>
      <c r="S12" s="17"/>
      <c r="T12" s="31"/>
      <c r="U12" s="17"/>
      <c r="V12" s="31"/>
      <c r="W12" s="30"/>
      <c r="X12" s="31"/>
      <c r="Y12" s="30"/>
      <c r="Z12" s="31"/>
      <c r="AA12" s="32"/>
      <c r="AB12" s="31"/>
      <c r="AC12" s="17"/>
      <c r="AD12" s="22">
        <v>45552</v>
      </c>
      <c r="AE12" s="18">
        <v>120</v>
      </c>
      <c r="AF12" s="98">
        <v>529</v>
      </c>
      <c r="AG12" s="18">
        <v>0</v>
      </c>
      <c r="AH12" s="18">
        <v>0</v>
      </c>
      <c r="AI12" s="18">
        <v>0</v>
      </c>
      <c r="AJ12" s="18">
        <v>0</v>
      </c>
      <c r="AK12" s="18">
        <v>0</v>
      </c>
      <c r="AL12" s="26">
        <v>529</v>
      </c>
      <c r="AM12" s="37">
        <v>1</v>
      </c>
      <c r="AN12" s="25">
        <v>46201</v>
      </c>
      <c r="AO12" s="27">
        <v>11</v>
      </c>
      <c r="AP12" s="165" t="s">
        <v>97</v>
      </c>
      <c r="AQ12" s="191">
        <v>455000</v>
      </c>
      <c r="AR12" s="100">
        <v>0</v>
      </c>
      <c r="AS12" s="91">
        <v>0</v>
      </c>
      <c r="AT12" s="91">
        <v>0</v>
      </c>
      <c r="AU12" s="91">
        <v>0</v>
      </c>
      <c r="AV12" s="91">
        <v>0</v>
      </c>
      <c r="AW12" s="91">
        <v>0</v>
      </c>
      <c r="AX12" s="192">
        <f t="shared" si="2"/>
        <v>0</v>
      </c>
      <c r="AY12" s="192">
        <f t="shared" si="3"/>
        <v>455000</v>
      </c>
      <c r="AZ12" s="193">
        <v>273000</v>
      </c>
      <c r="BA12" s="193">
        <f t="shared" si="4"/>
        <v>136500</v>
      </c>
      <c r="BB12" s="194">
        <v>0</v>
      </c>
      <c r="BC12" s="194">
        <v>0</v>
      </c>
      <c r="BD12" s="194">
        <v>136500</v>
      </c>
      <c r="BE12" s="194">
        <v>0</v>
      </c>
      <c r="BF12" s="194">
        <v>0</v>
      </c>
      <c r="BG12" s="194">
        <v>0</v>
      </c>
      <c r="BH12" s="194">
        <v>0</v>
      </c>
      <c r="BI12" s="194">
        <v>0</v>
      </c>
      <c r="BJ12" s="194">
        <v>0</v>
      </c>
      <c r="BK12" s="194">
        <v>0</v>
      </c>
      <c r="BL12" s="194">
        <v>0</v>
      </c>
      <c r="BM12" s="194">
        <v>0</v>
      </c>
      <c r="BN12" s="37">
        <v>3</v>
      </c>
      <c r="BO12" s="193">
        <f t="shared" si="5"/>
        <v>409500</v>
      </c>
      <c r="BP12" s="193">
        <f t="shared" si="6"/>
        <v>45500</v>
      </c>
      <c r="BQ12" s="29">
        <f t="shared" si="7"/>
        <v>0.9</v>
      </c>
      <c r="BR12" s="15" t="s">
        <v>249</v>
      </c>
      <c r="BS12" s="94"/>
      <c r="BU12"/>
    </row>
    <row r="13" spans="1:253" ht="34" customHeight="1">
      <c r="A13" s="81"/>
      <c r="B13" s="82">
        <v>9</v>
      </c>
      <c r="C13" s="50" t="s">
        <v>98</v>
      </c>
      <c r="D13" s="21" t="s">
        <v>99</v>
      </c>
      <c r="E13" s="20" t="s">
        <v>100</v>
      </c>
      <c r="F13" s="23" t="s">
        <v>54</v>
      </c>
      <c r="G13" s="23" t="s">
        <v>55</v>
      </c>
      <c r="H13" s="23" t="s">
        <v>61</v>
      </c>
      <c r="I13" s="23" t="s">
        <v>47</v>
      </c>
      <c r="J13" s="23" t="s">
        <v>57</v>
      </c>
      <c r="K13" s="23" t="s">
        <v>61</v>
      </c>
      <c r="L13" s="22" t="s">
        <v>47</v>
      </c>
      <c r="M13" s="22" t="s">
        <v>47</v>
      </c>
      <c r="N13" s="22">
        <v>45322</v>
      </c>
      <c r="O13" s="22" t="s">
        <v>47</v>
      </c>
      <c r="P13" s="22" t="s">
        <v>47</v>
      </c>
      <c r="Q13" s="22">
        <v>45631</v>
      </c>
      <c r="R13" s="22">
        <v>45841</v>
      </c>
      <c r="S13" s="22">
        <v>45866</v>
      </c>
      <c r="T13" s="22">
        <v>45867</v>
      </c>
      <c r="U13" s="22" t="s">
        <v>47</v>
      </c>
      <c r="V13" s="22">
        <v>46191</v>
      </c>
      <c r="W13" s="97" t="s">
        <v>2</v>
      </c>
      <c r="X13" s="31"/>
      <c r="Y13" s="30"/>
      <c r="Z13" s="31"/>
      <c r="AA13" s="32"/>
      <c r="AB13" s="31"/>
      <c r="AC13" s="17"/>
      <c r="AD13" s="22">
        <v>45244</v>
      </c>
      <c r="AE13" s="18">
        <v>180</v>
      </c>
      <c r="AF13" s="98">
        <v>0</v>
      </c>
      <c r="AG13" s="98">
        <v>550</v>
      </c>
      <c r="AH13" s="98">
        <v>240</v>
      </c>
      <c r="AI13" s="99">
        <v>0</v>
      </c>
      <c r="AJ13" s="18">
        <v>0</v>
      </c>
      <c r="AK13" s="18">
        <v>0</v>
      </c>
      <c r="AL13" s="26">
        <f t="shared" ref="AL13:AL30" si="9">AF13+AG13+AH13+AI13+AK13</f>
        <v>790</v>
      </c>
      <c r="AM13" s="37">
        <v>3</v>
      </c>
      <c r="AN13" s="25">
        <f t="shared" ref="AN13:AN30" si="10">AD13+AE13+AL13</f>
        <v>46214</v>
      </c>
      <c r="AO13" s="27">
        <f t="shared" ref="AO13:AO21" ca="1" si="11">AN13-$AN$1</f>
        <v>11</v>
      </c>
      <c r="AP13" s="165" t="s">
        <v>257</v>
      </c>
      <c r="AQ13" s="19">
        <v>3706601.65</v>
      </c>
      <c r="AR13" s="100">
        <v>2616696.4500000002</v>
      </c>
      <c r="AS13" s="100">
        <v>0</v>
      </c>
      <c r="AT13" s="100">
        <v>1804553.45</v>
      </c>
      <c r="AU13" s="96">
        <v>0</v>
      </c>
      <c r="AV13" s="91">
        <v>0</v>
      </c>
      <c r="AW13" s="91">
        <v>0</v>
      </c>
      <c r="AX13" s="28">
        <f t="shared" si="2"/>
        <v>4421249.9000000004</v>
      </c>
      <c r="AY13" s="28">
        <f t="shared" si="3"/>
        <v>8127851.5500000007</v>
      </c>
      <c r="AZ13" s="19">
        <v>3527675.05</v>
      </c>
      <c r="BA13" s="19">
        <f t="shared" si="4"/>
        <v>691849.72</v>
      </c>
      <c r="BB13" s="181">
        <v>30131.83</v>
      </c>
      <c r="BC13" s="181">
        <v>60342.49</v>
      </c>
      <c r="BD13" s="181">
        <v>230304.35</v>
      </c>
      <c r="BE13" s="181">
        <f>247763.24+2196.12</f>
        <v>249959.36</v>
      </c>
      <c r="BF13" s="181">
        <f>120006.94+1104.75</f>
        <v>121111.69</v>
      </c>
      <c r="BG13" s="181">
        <v>0</v>
      </c>
      <c r="BH13" s="181">
        <v>0</v>
      </c>
      <c r="BI13" s="181">
        <v>0</v>
      </c>
      <c r="BJ13" s="181">
        <v>0</v>
      </c>
      <c r="BK13" s="181">
        <v>0</v>
      </c>
      <c r="BL13" s="181">
        <v>0</v>
      </c>
      <c r="BM13" s="181">
        <v>0</v>
      </c>
      <c r="BN13" s="37">
        <v>25</v>
      </c>
      <c r="BO13" s="19">
        <f t="shared" si="5"/>
        <v>4219524.7699999996</v>
      </c>
      <c r="BP13" s="19">
        <f t="shared" si="6"/>
        <v>3908326.7800000012</v>
      </c>
      <c r="BQ13" s="29">
        <f t="shared" si="7"/>
        <v>0.5191439267859167</v>
      </c>
      <c r="BR13" s="15"/>
      <c r="BS13" s="94"/>
    </row>
    <row r="14" spans="1:253" ht="34" customHeight="1">
      <c r="A14" s="81"/>
      <c r="B14" s="82">
        <v>10</v>
      </c>
      <c r="C14" s="50" t="s">
        <v>101</v>
      </c>
      <c r="D14" s="21" t="s">
        <v>102</v>
      </c>
      <c r="E14" s="20" t="s">
        <v>103</v>
      </c>
      <c r="F14" s="33" t="s">
        <v>44</v>
      </c>
      <c r="G14" s="23" t="s">
        <v>45</v>
      </c>
      <c r="H14" s="23" t="s">
        <v>49</v>
      </c>
      <c r="I14" s="23" t="s">
        <v>47</v>
      </c>
      <c r="J14" s="23" t="s">
        <v>48</v>
      </c>
      <c r="K14" s="23" t="s">
        <v>47</v>
      </c>
      <c r="L14" s="23" t="s">
        <v>104</v>
      </c>
      <c r="M14" s="87" t="s">
        <v>2</v>
      </c>
      <c r="N14" s="87" t="s">
        <v>2</v>
      </c>
      <c r="O14" s="17"/>
      <c r="P14" s="31"/>
      <c r="Q14" s="17"/>
      <c r="R14" s="31"/>
      <c r="S14" s="17"/>
      <c r="T14" s="31"/>
      <c r="U14" s="17"/>
      <c r="V14" s="31"/>
      <c r="W14" s="30"/>
      <c r="X14" s="31"/>
      <c r="Y14" s="30"/>
      <c r="Z14" s="31"/>
      <c r="AA14" s="32"/>
      <c r="AB14" s="31"/>
      <c r="AC14" s="17"/>
      <c r="AD14" s="22">
        <v>45856</v>
      </c>
      <c r="AE14" s="18">
        <v>364</v>
      </c>
      <c r="AF14" s="99">
        <v>0</v>
      </c>
      <c r="AG14" s="18">
        <v>0</v>
      </c>
      <c r="AH14" s="18">
        <v>0</v>
      </c>
      <c r="AI14" s="18">
        <v>0</v>
      </c>
      <c r="AJ14" s="18">
        <v>0</v>
      </c>
      <c r="AK14" s="18">
        <v>0</v>
      </c>
      <c r="AL14" s="26">
        <f t="shared" si="9"/>
        <v>0</v>
      </c>
      <c r="AM14" s="37">
        <v>0</v>
      </c>
      <c r="AN14" s="25">
        <f t="shared" si="10"/>
        <v>46220</v>
      </c>
      <c r="AO14" s="27">
        <f t="shared" ca="1" si="11"/>
        <v>17</v>
      </c>
      <c r="AP14" s="165" t="s">
        <v>105</v>
      </c>
      <c r="AQ14" s="19">
        <v>12835760</v>
      </c>
      <c r="AR14" s="96">
        <v>0</v>
      </c>
      <c r="AS14" s="91">
        <v>0</v>
      </c>
      <c r="AT14" s="91">
        <v>0</v>
      </c>
      <c r="AU14" s="91">
        <v>0</v>
      </c>
      <c r="AV14" s="91">
        <v>0</v>
      </c>
      <c r="AW14" s="91">
        <v>0</v>
      </c>
      <c r="AX14" s="28">
        <f t="shared" si="2"/>
        <v>0</v>
      </c>
      <c r="AY14" s="28">
        <f t="shared" si="3"/>
        <v>12835760</v>
      </c>
      <c r="AZ14" s="19">
        <v>3432891.57</v>
      </c>
      <c r="BA14" s="19">
        <f t="shared" si="4"/>
        <v>583183.30000000005</v>
      </c>
      <c r="BB14" s="181">
        <v>4964</v>
      </c>
      <c r="BC14" s="181">
        <v>106246</v>
      </c>
      <c r="BD14" s="181">
        <v>187994</v>
      </c>
      <c r="BE14" s="181">
        <v>125876</v>
      </c>
      <c r="BF14" s="181">
        <v>158103.29999999999</v>
      </c>
      <c r="BG14" s="181">
        <v>0</v>
      </c>
      <c r="BH14" s="181">
        <v>0</v>
      </c>
      <c r="BI14" s="181">
        <v>0</v>
      </c>
      <c r="BJ14" s="181">
        <v>0</v>
      </c>
      <c r="BK14" s="181">
        <v>0</v>
      </c>
      <c r="BL14" s="181">
        <v>0</v>
      </c>
      <c r="BM14" s="181">
        <v>0</v>
      </c>
      <c r="BN14" s="37">
        <v>10</v>
      </c>
      <c r="BO14" s="19">
        <f t="shared" si="5"/>
        <v>4016074.87</v>
      </c>
      <c r="BP14" s="19">
        <f t="shared" si="6"/>
        <v>8819685.129999999</v>
      </c>
      <c r="BQ14" s="29">
        <f t="shared" si="7"/>
        <v>0.31288173586916551</v>
      </c>
      <c r="BR14" s="15"/>
      <c r="BS14" s="94"/>
      <c r="BU14"/>
    </row>
    <row r="15" spans="1:253" ht="34" customHeight="1">
      <c r="A15" s="81"/>
      <c r="B15" s="82">
        <v>11</v>
      </c>
      <c r="C15" s="50" t="s">
        <v>70</v>
      </c>
      <c r="D15" s="21" t="s">
        <v>71</v>
      </c>
      <c r="E15" s="20" t="s">
        <v>72</v>
      </c>
      <c r="F15" s="23" t="s">
        <v>54</v>
      </c>
      <c r="G15" s="23" t="s">
        <v>73</v>
      </c>
      <c r="H15" s="23" t="s">
        <v>74</v>
      </c>
      <c r="I15" s="23" t="s">
        <v>47</v>
      </c>
      <c r="J15" s="23" t="s">
        <v>47</v>
      </c>
      <c r="K15" s="23" t="s">
        <v>47</v>
      </c>
      <c r="L15" s="22">
        <v>45769</v>
      </c>
      <c r="M15" s="22">
        <v>45783</v>
      </c>
      <c r="N15" s="22">
        <v>45793</v>
      </c>
      <c r="O15" s="22">
        <v>45903</v>
      </c>
      <c r="P15" s="22">
        <v>45905</v>
      </c>
      <c r="Q15" s="22">
        <v>45917</v>
      </c>
      <c r="R15" s="22" t="s">
        <v>75</v>
      </c>
      <c r="S15" s="22">
        <v>46163</v>
      </c>
      <c r="T15" s="97" t="s">
        <v>246</v>
      </c>
      <c r="U15" s="17"/>
      <c r="V15" s="31"/>
      <c r="W15" s="30"/>
      <c r="X15" s="31"/>
      <c r="Y15" s="30"/>
      <c r="Z15" s="31"/>
      <c r="AA15" s="32"/>
      <c r="AB15" s="31"/>
      <c r="AC15" s="17"/>
      <c r="AD15" s="22">
        <v>45402</v>
      </c>
      <c r="AE15" s="18">
        <v>364</v>
      </c>
      <c r="AF15" s="98">
        <v>365</v>
      </c>
      <c r="AG15" s="98">
        <v>91</v>
      </c>
      <c r="AH15" s="18">
        <v>0</v>
      </c>
      <c r="AI15" s="18">
        <v>0</v>
      </c>
      <c r="AJ15" s="18">
        <v>0</v>
      </c>
      <c r="AK15" s="18">
        <v>0</v>
      </c>
      <c r="AL15" s="26">
        <f t="shared" si="9"/>
        <v>456</v>
      </c>
      <c r="AM15" s="37">
        <v>1</v>
      </c>
      <c r="AN15" s="25">
        <f t="shared" si="10"/>
        <v>46222</v>
      </c>
      <c r="AO15" s="27">
        <f t="shared" ca="1" si="11"/>
        <v>19</v>
      </c>
      <c r="AP15" s="165" t="s">
        <v>268</v>
      </c>
      <c r="AQ15" s="19">
        <v>884548.84</v>
      </c>
      <c r="AR15" s="100">
        <v>552003.18000000005</v>
      </c>
      <c r="AS15" s="100">
        <v>0</v>
      </c>
      <c r="AT15" s="91">
        <v>0</v>
      </c>
      <c r="AU15" s="91">
        <v>0</v>
      </c>
      <c r="AV15" s="91">
        <v>0</v>
      </c>
      <c r="AW15" s="91">
        <v>0</v>
      </c>
      <c r="AX15" s="28">
        <f t="shared" si="2"/>
        <v>552003.18000000005</v>
      </c>
      <c r="AY15" s="28">
        <f t="shared" si="3"/>
        <v>1436552.02</v>
      </c>
      <c r="AZ15" s="19">
        <v>1057484.8899999999</v>
      </c>
      <c r="BA15" s="19">
        <f t="shared" si="4"/>
        <v>191434.64</v>
      </c>
      <c r="BB15" s="181">
        <v>40300.58</v>
      </c>
      <c r="BC15" s="181">
        <v>50055.65</v>
      </c>
      <c r="BD15" s="181">
        <v>50577.53</v>
      </c>
      <c r="BE15" s="181">
        <v>50500.88</v>
      </c>
      <c r="BF15" s="181">
        <v>0</v>
      </c>
      <c r="BG15" s="181">
        <v>0</v>
      </c>
      <c r="BH15" s="181">
        <v>0</v>
      </c>
      <c r="BI15" s="181">
        <v>0</v>
      </c>
      <c r="BJ15" s="181">
        <v>0</v>
      </c>
      <c r="BK15" s="181">
        <v>0</v>
      </c>
      <c r="BL15" s="181">
        <v>0</v>
      </c>
      <c r="BM15" s="181">
        <v>0</v>
      </c>
      <c r="BN15" s="37">
        <v>23</v>
      </c>
      <c r="BO15" s="19">
        <f t="shared" si="5"/>
        <v>1248919.5299999998</v>
      </c>
      <c r="BP15" s="19">
        <f t="shared" si="6"/>
        <v>187632.49000000022</v>
      </c>
      <c r="BQ15" s="29">
        <f t="shared" si="7"/>
        <v>0.86938691576236815</v>
      </c>
      <c r="BR15" s="15"/>
      <c r="BS15" s="94"/>
    </row>
    <row r="16" spans="1:253" ht="34" customHeight="1">
      <c r="A16" s="81"/>
      <c r="B16" s="82">
        <v>12</v>
      </c>
      <c r="C16" s="50" t="s">
        <v>106</v>
      </c>
      <c r="D16" s="21" t="s">
        <v>107</v>
      </c>
      <c r="E16" s="20" t="s">
        <v>108</v>
      </c>
      <c r="F16" s="33" t="s">
        <v>44</v>
      </c>
      <c r="G16" s="23" t="s">
        <v>65</v>
      </c>
      <c r="H16" s="23" t="s">
        <v>66</v>
      </c>
      <c r="I16" s="23" t="s">
        <v>47</v>
      </c>
      <c r="J16" s="23" t="s">
        <v>48</v>
      </c>
      <c r="K16" s="23" t="s">
        <v>47</v>
      </c>
      <c r="L16" s="17"/>
      <c r="M16" s="32"/>
      <c r="N16" s="30"/>
      <c r="O16" s="17"/>
      <c r="P16" s="31"/>
      <c r="Q16" s="17"/>
      <c r="R16" s="31"/>
      <c r="S16" s="17"/>
      <c r="T16" s="31"/>
      <c r="U16" s="17"/>
      <c r="V16" s="31"/>
      <c r="W16" s="30"/>
      <c r="X16" s="31"/>
      <c r="Y16" s="30"/>
      <c r="Z16" s="31"/>
      <c r="AA16" s="32"/>
      <c r="AB16" s="31"/>
      <c r="AC16" s="17"/>
      <c r="AD16" s="22">
        <v>45881</v>
      </c>
      <c r="AE16" s="18">
        <v>364</v>
      </c>
      <c r="AF16" s="18">
        <v>0</v>
      </c>
      <c r="AG16" s="18">
        <v>0</v>
      </c>
      <c r="AH16" s="18">
        <v>0</v>
      </c>
      <c r="AI16" s="18">
        <v>0</v>
      </c>
      <c r="AJ16" s="18">
        <v>0</v>
      </c>
      <c r="AK16" s="18">
        <v>0</v>
      </c>
      <c r="AL16" s="26">
        <f t="shared" si="9"/>
        <v>0</v>
      </c>
      <c r="AM16" s="37">
        <v>0</v>
      </c>
      <c r="AN16" s="25">
        <f t="shared" si="10"/>
        <v>46245</v>
      </c>
      <c r="AO16" s="27">
        <f t="shared" ca="1" si="11"/>
        <v>42</v>
      </c>
      <c r="AP16" s="165" t="s">
        <v>264</v>
      </c>
      <c r="AQ16" s="19">
        <v>90000</v>
      </c>
      <c r="AR16" s="91">
        <v>0</v>
      </c>
      <c r="AS16" s="91">
        <v>0</v>
      </c>
      <c r="AT16" s="91">
        <v>0</v>
      </c>
      <c r="AU16" s="91">
        <v>0</v>
      </c>
      <c r="AV16" s="91">
        <v>0</v>
      </c>
      <c r="AW16" s="91">
        <v>0</v>
      </c>
      <c r="AX16" s="28">
        <f t="shared" si="2"/>
        <v>0</v>
      </c>
      <c r="AY16" s="28">
        <f t="shared" si="3"/>
        <v>90000</v>
      </c>
      <c r="AZ16" s="19">
        <v>47267.77</v>
      </c>
      <c r="BA16" s="19">
        <f t="shared" si="4"/>
        <v>38760</v>
      </c>
      <c r="BB16" s="181">
        <v>12540</v>
      </c>
      <c r="BC16" s="181">
        <v>12255</v>
      </c>
      <c r="BD16" s="181">
        <v>13965</v>
      </c>
      <c r="BE16" s="181">
        <v>0</v>
      </c>
      <c r="BF16" s="181">
        <v>0</v>
      </c>
      <c r="BG16" s="181">
        <v>0</v>
      </c>
      <c r="BH16" s="181">
        <v>0</v>
      </c>
      <c r="BI16" s="181">
        <v>0</v>
      </c>
      <c r="BJ16" s="181">
        <v>0</v>
      </c>
      <c r="BK16" s="181">
        <v>0</v>
      </c>
      <c r="BL16" s="181">
        <v>0</v>
      </c>
      <c r="BM16" s="181">
        <v>0</v>
      </c>
      <c r="BN16" s="37">
        <v>7</v>
      </c>
      <c r="BO16" s="19">
        <f t="shared" si="5"/>
        <v>86027.76999999999</v>
      </c>
      <c r="BP16" s="19">
        <f t="shared" si="6"/>
        <v>3972.2300000000105</v>
      </c>
      <c r="BQ16" s="29">
        <f t="shared" si="7"/>
        <v>0.95586411111111103</v>
      </c>
      <c r="BR16" s="15"/>
      <c r="BS16" s="94"/>
    </row>
    <row r="17" spans="1:74" ht="34" customHeight="1" collapsed="1">
      <c r="A17" s="81"/>
      <c r="B17" s="82">
        <v>13</v>
      </c>
      <c r="C17" s="83" t="s">
        <v>130</v>
      </c>
      <c r="D17" s="21" t="s">
        <v>131</v>
      </c>
      <c r="E17" s="20" t="s">
        <v>132</v>
      </c>
      <c r="F17" s="33" t="s">
        <v>44</v>
      </c>
      <c r="G17" s="23" t="s">
        <v>65</v>
      </c>
      <c r="H17" s="23" t="s">
        <v>66</v>
      </c>
      <c r="I17" s="23" t="s">
        <v>47</v>
      </c>
      <c r="J17" s="23" t="s">
        <v>48</v>
      </c>
      <c r="K17" s="23" t="s">
        <v>47</v>
      </c>
      <c r="L17" s="17"/>
      <c r="M17" s="17"/>
      <c r="N17" s="31"/>
      <c r="O17" s="17"/>
      <c r="P17" s="31"/>
      <c r="Q17" s="31"/>
      <c r="R17" s="31"/>
      <c r="S17" s="17"/>
      <c r="T17" s="31"/>
      <c r="U17" s="17"/>
      <c r="V17" s="31"/>
      <c r="W17" s="30"/>
      <c r="X17" s="31"/>
      <c r="Y17" s="30"/>
      <c r="Z17" s="31"/>
      <c r="AA17" s="32"/>
      <c r="AB17" s="31"/>
      <c r="AC17" s="17"/>
      <c r="AD17" s="22">
        <v>45866</v>
      </c>
      <c r="AE17" s="18">
        <v>365</v>
      </c>
      <c r="AF17" s="18">
        <v>0</v>
      </c>
      <c r="AG17" s="18">
        <v>0</v>
      </c>
      <c r="AH17" s="18">
        <v>0</v>
      </c>
      <c r="AI17" s="18">
        <v>0</v>
      </c>
      <c r="AJ17" s="18">
        <v>0</v>
      </c>
      <c r="AK17" s="18">
        <v>0</v>
      </c>
      <c r="AL17" s="26">
        <f t="shared" si="9"/>
        <v>0</v>
      </c>
      <c r="AM17" s="37">
        <v>0</v>
      </c>
      <c r="AN17" s="25">
        <f t="shared" si="10"/>
        <v>46231</v>
      </c>
      <c r="AO17" s="27">
        <f t="shared" ca="1" si="11"/>
        <v>28</v>
      </c>
      <c r="AP17" s="165" t="s">
        <v>259</v>
      </c>
      <c r="AQ17" s="19">
        <v>90000</v>
      </c>
      <c r="AR17" s="91">
        <v>0</v>
      </c>
      <c r="AS17" s="91">
        <v>0</v>
      </c>
      <c r="AT17" s="91">
        <v>0</v>
      </c>
      <c r="AU17" s="91">
        <v>0</v>
      </c>
      <c r="AV17" s="91">
        <v>0</v>
      </c>
      <c r="AW17" s="91">
        <v>0</v>
      </c>
      <c r="AX17" s="28">
        <f t="shared" si="2"/>
        <v>0</v>
      </c>
      <c r="AY17" s="28">
        <f t="shared" si="3"/>
        <v>90000</v>
      </c>
      <c r="AZ17" s="19">
        <v>8146.57</v>
      </c>
      <c r="BA17" s="19">
        <f t="shared" si="4"/>
        <v>32190</v>
      </c>
      <c r="BB17" s="181">
        <v>9860</v>
      </c>
      <c r="BC17" s="181">
        <v>12180</v>
      </c>
      <c r="BD17" s="181">
        <v>10150</v>
      </c>
      <c r="BE17" s="181">
        <v>0</v>
      </c>
      <c r="BF17" s="181">
        <v>0</v>
      </c>
      <c r="BG17" s="181">
        <v>0</v>
      </c>
      <c r="BH17" s="181">
        <v>0</v>
      </c>
      <c r="BI17" s="181">
        <v>0</v>
      </c>
      <c r="BJ17" s="181">
        <v>0</v>
      </c>
      <c r="BK17" s="181">
        <v>0</v>
      </c>
      <c r="BL17" s="181">
        <v>0</v>
      </c>
      <c r="BM17" s="181">
        <v>0</v>
      </c>
      <c r="BN17" s="37">
        <v>4</v>
      </c>
      <c r="BO17" s="19">
        <f t="shared" si="5"/>
        <v>40336.57</v>
      </c>
      <c r="BP17" s="19">
        <f t="shared" si="6"/>
        <v>49663.43</v>
      </c>
      <c r="BQ17" s="29">
        <f t="shared" si="7"/>
        <v>0.44818411111111112</v>
      </c>
      <c r="BR17" s="15"/>
      <c r="BS17" s="94"/>
    </row>
    <row r="18" spans="1:74" ht="34" customHeight="1">
      <c r="A18" s="81"/>
      <c r="B18" s="82">
        <v>14</v>
      </c>
      <c r="C18" s="50" t="s">
        <v>109</v>
      </c>
      <c r="D18" s="21" t="s">
        <v>113</v>
      </c>
      <c r="E18" s="20" t="s">
        <v>114</v>
      </c>
      <c r="F18" s="23" t="s">
        <v>54</v>
      </c>
      <c r="G18" s="23" t="s">
        <v>55</v>
      </c>
      <c r="H18" s="23" t="s">
        <v>56</v>
      </c>
      <c r="I18" s="23" t="s">
        <v>61</v>
      </c>
      <c r="J18" s="23" t="s">
        <v>57</v>
      </c>
      <c r="K18" s="23" t="s">
        <v>61</v>
      </c>
      <c r="L18" s="22" t="s">
        <v>112</v>
      </c>
      <c r="M18" s="22">
        <v>46051</v>
      </c>
      <c r="N18" s="22">
        <v>46099</v>
      </c>
      <c r="O18" s="17"/>
      <c r="P18" s="31"/>
      <c r="Q18" s="17"/>
      <c r="R18" s="31"/>
      <c r="S18" s="17"/>
      <c r="T18" s="31"/>
      <c r="U18" s="17"/>
      <c r="V18" s="31"/>
      <c r="W18" s="30"/>
      <c r="X18" s="31"/>
      <c r="Y18" s="30"/>
      <c r="Z18" s="31"/>
      <c r="AA18" s="32"/>
      <c r="AB18" s="31"/>
      <c r="AC18" s="17"/>
      <c r="AD18" s="22">
        <v>45890</v>
      </c>
      <c r="AE18" s="18">
        <v>364</v>
      </c>
      <c r="AF18" s="98">
        <v>0</v>
      </c>
      <c r="AG18" s="18">
        <v>0</v>
      </c>
      <c r="AH18" s="18">
        <v>0</v>
      </c>
      <c r="AI18" s="18">
        <v>0</v>
      </c>
      <c r="AJ18" s="18">
        <v>0</v>
      </c>
      <c r="AK18" s="18">
        <v>0</v>
      </c>
      <c r="AL18" s="26">
        <f t="shared" si="9"/>
        <v>0</v>
      </c>
      <c r="AM18" s="37">
        <v>1</v>
      </c>
      <c r="AN18" s="25">
        <f t="shared" si="10"/>
        <v>46254</v>
      </c>
      <c r="AO18" s="27">
        <f t="shared" ca="1" si="11"/>
        <v>51</v>
      </c>
      <c r="AP18" s="165" t="s">
        <v>2</v>
      </c>
      <c r="AQ18" s="19">
        <v>6072240</v>
      </c>
      <c r="AR18" s="100">
        <v>0</v>
      </c>
      <c r="AS18" s="91">
        <v>0</v>
      </c>
      <c r="AT18" s="91">
        <v>0</v>
      </c>
      <c r="AU18" s="91">
        <v>0</v>
      </c>
      <c r="AV18" s="91">
        <v>0</v>
      </c>
      <c r="AW18" s="91">
        <v>0</v>
      </c>
      <c r="AX18" s="28">
        <f t="shared" si="2"/>
        <v>0</v>
      </c>
      <c r="AY18" s="28">
        <f t="shared" si="3"/>
        <v>6072240</v>
      </c>
      <c r="AZ18" s="19">
        <v>1353961.99</v>
      </c>
      <c r="BA18" s="19">
        <f t="shared" si="4"/>
        <v>1025128.74</v>
      </c>
      <c r="BB18" s="181">
        <v>254828.34</v>
      </c>
      <c r="BC18" s="181">
        <v>229458</v>
      </c>
      <c r="BD18" s="181">
        <v>221905.35</v>
      </c>
      <c r="BE18" s="181">
        <v>159061.35999999999</v>
      </c>
      <c r="BF18" s="181">
        <f>149472.98+10402.71</f>
        <v>159875.69</v>
      </c>
      <c r="BG18" s="181">
        <v>0</v>
      </c>
      <c r="BH18" s="181">
        <v>0</v>
      </c>
      <c r="BI18" s="181">
        <v>0</v>
      </c>
      <c r="BJ18" s="181">
        <v>0</v>
      </c>
      <c r="BK18" s="181">
        <v>0</v>
      </c>
      <c r="BL18" s="181">
        <v>0</v>
      </c>
      <c r="BM18" s="181">
        <v>0</v>
      </c>
      <c r="BN18" s="37">
        <v>10</v>
      </c>
      <c r="BO18" s="19">
        <f t="shared" si="5"/>
        <v>2379090.73</v>
      </c>
      <c r="BP18" s="19">
        <f t="shared" si="6"/>
        <v>3693149.27</v>
      </c>
      <c r="BQ18" s="29">
        <f t="shared" si="7"/>
        <v>0.39179787524867266</v>
      </c>
      <c r="BR18" s="15"/>
      <c r="BS18" s="94"/>
      <c r="BT18" s="195" t="s">
        <v>2</v>
      </c>
    </row>
    <row r="19" spans="1:74" ht="34" customHeight="1">
      <c r="A19" s="81"/>
      <c r="B19" s="82">
        <v>15</v>
      </c>
      <c r="C19" s="50" t="s">
        <v>115</v>
      </c>
      <c r="D19" s="21" t="s">
        <v>116</v>
      </c>
      <c r="E19" s="20" t="s">
        <v>117</v>
      </c>
      <c r="F19" s="23" t="s">
        <v>54</v>
      </c>
      <c r="G19" s="23" t="s">
        <v>55</v>
      </c>
      <c r="H19" s="23" t="s">
        <v>56</v>
      </c>
      <c r="I19" s="23" t="s">
        <v>61</v>
      </c>
      <c r="J19" s="23" t="s">
        <v>57</v>
      </c>
      <c r="K19" s="23" t="s">
        <v>61</v>
      </c>
      <c r="L19" s="22">
        <v>45666</v>
      </c>
      <c r="M19" s="22">
        <v>45666</v>
      </c>
      <c r="N19" s="22">
        <v>45666</v>
      </c>
      <c r="O19" s="22">
        <v>45810</v>
      </c>
      <c r="P19" s="22">
        <v>45825</v>
      </c>
      <c r="Q19" s="22">
        <v>45882</v>
      </c>
      <c r="R19" s="22">
        <v>45905</v>
      </c>
      <c r="S19" s="22">
        <v>45915</v>
      </c>
      <c r="T19" s="22">
        <v>45930</v>
      </c>
      <c r="U19" s="22">
        <v>46044</v>
      </c>
      <c r="V19" s="22">
        <v>46057</v>
      </c>
      <c r="W19" s="22">
        <v>46064</v>
      </c>
      <c r="X19" s="22">
        <v>46147</v>
      </c>
      <c r="Y19" s="22">
        <v>46149</v>
      </c>
      <c r="Z19" s="22">
        <v>46149</v>
      </c>
      <c r="AA19" s="22">
        <v>46171</v>
      </c>
      <c r="AB19" s="97" t="s">
        <v>2</v>
      </c>
      <c r="AC19" s="97" t="s">
        <v>2</v>
      </c>
      <c r="AD19" s="22">
        <v>45656</v>
      </c>
      <c r="AE19" s="18">
        <v>600</v>
      </c>
      <c r="AF19" s="98">
        <v>0</v>
      </c>
      <c r="AG19" s="98">
        <v>0</v>
      </c>
      <c r="AH19" s="98">
        <v>0</v>
      </c>
      <c r="AI19" s="98">
        <v>0</v>
      </c>
      <c r="AJ19" s="98">
        <v>0</v>
      </c>
      <c r="AK19" s="99">
        <v>0</v>
      </c>
      <c r="AL19" s="26">
        <f t="shared" si="9"/>
        <v>0</v>
      </c>
      <c r="AM19" s="37">
        <v>5</v>
      </c>
      <c r="AN19" s="25">
        <f t="shared" si="10"/>
        <v>46256</v>
      </c>
      <c r="AO19" s="27">
        <f t="shared" ca="1" si="11"/>
        <v>53</v>
      </c>
      <c r="AP19" s="165" t="s">
        <v>250</v>
      </c>
      <c r="AQ19" s="19">
        <v>71403859.700000003</v>
      </c>
      <c r="AR19" s="101">
        <v>0</v>
      </c>
      <c r="AS19" s="101">
        <v>0</v>
      </c>
      <c r="AT19" s="101">
        <v>0</v>
      </c>
      <c r="AU19" s="101">
        <v>0</v>
      </c>
      <c r="AV19" s="101">
        <v>0</v>
      </c>
      <c r="AW19" s="196">
        <v>1045344.6199999899</v>
      </c>
      <c r="AX19" s="28">
        <f t="shared" si="2"/>
        <v>1045344.6199999899</v>
      </c>
      <c r="AY19" s="28">
        <f t="shared" si="3"/>
        <v>72449204.319999993</v>
      </c>
      <c r="AZ19" s="19">
        <f>32833527.78+555100</f>
        <v>33388627.780000001</v>
      </c>
      <c r="BA19" s="19">
        <f t="shared" si="4"/>
        <v>8843803.5699999984</v>
      </c>
      <c r="BB19" s="181">
        <v>2745907.85</v>
      </c>
      <c r="BC19" s="181">
        <v>1592525.53</v>
      </c>
      <c r="BD19" s="181">
        <v>1555992.93</v>
      </c>
      <c r="BE19" s="181">
        <v>1453059.81</v>
      </c>
      <c r="BF19" s="181">
        <f>1461087.45+35230</f>
        <v>1496317.45</v>
      </c>
      <c r="BG19" s="181">
        <v>0</v>
      </c>
      <c r="BH19" s="181">
        <v>0</v>
      </c>
      <c r="BI19" s="181">
        <v>0</v>
      </c>
      <c r="BJ19" s="181">
        <v>0</v>
      </c>
      <c r="BK19" s="181">
        <v>0</v>
      </c>
      <c r="BL19" s="181">
        <v>0</v>
      </c>
      <c r="BM19" s="181">
        <v>0</v>
      </c>
      <c r="BN19" s="37">
        <v>18</v>
      </c>
      <c r="BO19" s="19">
        <f t="shared" si="5"/>
        <v>42232431.350000001</v>
      </c>
      <c r="BP19" s="19">
        <f t="shared" si="6"/>
        <v>30216772.969999991</v>
      </c>
      <c r="BQ19" s="29">
        <f t="shared" si="7"/>
        <v>0.58292470906187044</v>
      </c>
      <c r="BR19" s="197" t="s">
        <v>2</v>
      </c>
      <c r="BT19" s="195"/>
      <c r="BV19" s="198" t="s">
        <v>251</v>
      </c>
    </row>
    <row r="20" spans="1:74" ht="34" hidden="1" customHeight="1" outlineLevel="1">
      <c r="A20" s="2"/>
      <c r="B20" s="82" t="s">
        <v>47</v>
      </c>
      <c r="C20" s="102" t="s">
        <v>118</v>
      </c>
      <c r="D20" s="103" t="s">
        <v>47</v>
      </c>
      <c r="E20" s="104" t="s">
        <v>119</v>
      </c>
      <c r="F20" s="105" t="s">
        <v>54</v>
      </c>
      <c r="G20" s="105" t="s">
        <v>55</v>
      </c>
      <c r="H20" s="105" t="s">
        <v>120</v>
      </c>
      <c r="I20" s="105" t="s">
        <v>47</v>
      </c>
      <c r="J20" s="105" t="s">
        <v>47</v>
      </c>
      <c r="K20" s="105" t="s">
        <v>47</v>
      </c>
      <c r="L20" s="17"/>
      <c r="M20" s="31"/>
      <c r="N20" s="30"/>
      <c r="O20" s="31"/>
      <c r="P20" s="31"/>
      <c r="Q20" s="106"/>
      <c r="R20" s="32"/>
      <c r="S20" s="31"/>
      <c r="T20" s="30"/>
      <c r="U20" s="31"/>
      <c r="V20" s="32"/>
      <c r="W20" s="30"/>
      <c r="X20" s="31"/>
      <c r="Y20" s="30"/>
      <c r="Z20" s="31"/>
      <c r="AA20" s="32"/>
      <c r="AB20" s="31"/>
      <c r="AC20" s="17"/>
      <c r="AD20" s="107">
        <v>45693</v>
      </c>
      <c r="AE20" s="108">
        <v>115</v>
      </c>
      <c r="AF20" s="108">
        <v>365</v>
      </c>
      <c r="AG20" s="108">
        <v>83</v>
      </c>
      <c r="AH20" s="108">
        <v>0</v>
      </c>
      <c r="AI20" s="108">
        <v>0</v>
      </c>
      <c r="AJ20" s="108">
        <v>0</v>
      </c>
      <c r="AK20" s="108">
        <v>0</v>
      </c>
      <c r="AL20" s="109">
        <f t="shared" si="9"/>
        <v>448</v>
      </c>
      <c r="AM20" s="110">
        <v>1</v>
      </c>
      <c r="AN20" s="111">
        <f t="shared" si="10"/>
        <v>46256</v>
      </c>
      <c r="AO20" s="27">
        <f t="shared" ca="1" si="11"/>
        <v>53</v>
      </c>
      <c r="AP20" s="167" t="s">
        <v>121</v>
      </c>
      <c r="AQ20" s="112">
        <v>110000</v>
      </c>
      <c r="AR20" s="100">
        <v>240000</v>
      </c>
      <c r="AS20" s="91">
        <v>0</v>
      </c>
      <c r="AT20" s="91">
        <v>0</v>
      </c>
      <c r="AU20" s="91">
        <v>0</v>
      </c>
      <c r="AV20" s="91">
        <v>0</v>
      </c>
      <c r="AW20" s="91">
        <v>0</v>
      </c>
      <c r="AX20" s="28">
        <f t="shared" si="2"/>
        <v>240000</v>
      </c>
      <c r="AY20" s="28">
        <f t="shared" si="3"/>
        <v>350000</v>
      </c>
      <c r="AZ20" s="19">
        <f>235325.71-BA20</f>
        <v>194352.38</v>
      </c>
      <c r="BA20" s="19">
        <f t="shared" si="4"/>
        <v>40973.33</v>
      </c>
      <c r="BB20" s="181">
        <v>3823.33</v>
      </c>
      <c r="BC20" s="181">
        <v>7030</v>
      </c>
      <c r="BD20" s="181">
        <v>9380</v>
      </c>
      <c r="BE20" s="181">
        <v>10370</v>
      </c>
      <c r="BF20" s="181">
        <v>10370</v>
      </c>
      <c r="BG20" s="181">
        <v>0</v>
      </c>
      <c r="BH20" s="181">
        <v>0</v>
      </c>
      <c r="BI20" s="181">
        <v>0</v>
      </c>
      <c r="BJ20" s="181">
        <v>0</v>
      </c>
      <c r="BK20" s="181">
        <v>0</v>
      </c>
      <c r="BL20" s="181">
        <v>0</v>
      </c>
      <c r="BM20" s="181">
        <v>0</v>
      </c>
      <c r="BN20" s="37" t="s">
        <v>47</v>
      </c>
      <c r="BO20" s="19">
        <f t="shared" si="5"/>
        <v>235325.71000000002</v>
      </c>
      <c r="BP20" s="19">
        <f t="shared" si="6"/>
        <v>114674.28999999998</v>
      </c>
      <c r="BQ20" s="29">
        <f t="shared" si="7"/>
        <v>0.67235917142857149</v>
      </c>
      <c r="BR20" s="15"/>
      <c r="BS20" s="94"/>
    </row>
    <row r="21" spans="1:74" ht="34" hidden="1" customHeight="1" outlineLevel="1">
      <c r="A21" s="2"/>
      <c r="B21" s="82" t="s">
        <v>47</v>
      </c>
      <c r="C21" s="102" t="s">
        <v>124</v>
      </c>
      <c r="D21" s="103" t="s">
        <v>47</v>
      </c>
      <c r="E21" s="104" t="s">
        <v>125</v>
      </c>
      <c r="F21" s="105" t="s">
        <v>54</v>
      </c>
      <c r="G21" s="105" t="s">
        <v>55</v>
      </c>
      <c r="H21" s="105" t="s">
        <v>120</v>
      </c>
      <c r="I21" s="105" t="s">
        <v>47</v>
      </c>
      <c r="J21" s="105" t="s">
        <v>47</v>
      </c>
      <c r="K21" s="105" t="s">
        <v>47</v>
      </c>
      <c r="L21" s="17"/>
      <c r="M21" s="31"/>
      <c r="N21" s="30"/>
      <c r="O21" s="31"/>
      <c r="P21" s="31"/>
      <c r="Q21" s="30"/>
      <c r="R21" s="31"/>
      <c r="S21" s="31"/>
      <c r="T21" s="30"/>
      <c r="U21" s="31"/>
      <c r="V21" s="31"/>
      <c r="W21" s="106"/>
      <c r="X21" s="32"/>
      <c r="Y21" s="30"/>
      <c r="Z21" s="31"/>
      <c r="AA21" s="32"/>
      <c r="AB21" s="31"/>
      <c r="AC21" s="17"/>
      <c r="AD21" s="107">
        <v>45818</v>
      </c>
      <c r="AE21" s="108">
        <v>204</v>
      </c>
      <c r="AF21" s="108">
        <v>234</v>
      </c>
      <c r="AG21" s="108">
        <v>0</v>
      </c>
      <c r="AH21" s="108">
        <v>0</v>
      </c>
      <c r="AI21" s="108">
        <v>0</v>
      </c>
      <c r="AJ21" s="108">
        <v>0</v>
      </c>
      <c r="AK21" s="108">
        <v>0</v>
      </c>
      <c r="AL21" s="109">
        <f t="shared" si="9"/>
        <v>234</v>
      </c>
      <c r="AM21" s="110">
        <v>1</v>
      </c>
      <c r="AN21" s="111">
        <f t="shared" si="10"/>
        <v>46256</v>
      </c>
      <c r="AO21" s="27">
        <f t="shared" ca="1" si="11"/>
        <v>53</v>
      </c>
      <c r="AP21" s="168"/>
      <c r="AQ21" s="112">
        <v>350000</v>
      </c>
      <c r="AR21" s="100">
        <v>280000</v>
      </c>
      <c r="AS21" s="91">
        <v>0</v>
      </c>
      <c r="AT21" s="91">
        <v>0</v>
      </c>
      <c r="AU21" s="91">
        <v>0</v>
      </c>
      <c r="AV21" s="91">
        <v>0</v>
      </c>
      <c r="AW21" s="91">
        <v>0</v>
      </c>
      <c r="AX21" s="28">
        <f t="shared" si="2"/>
        <v>280000</v>
      </c>
      <c r="AY21" s="28">
        <f t="shared" si="3"/>
        <v>630000</v>
      </c>
      <c r="AZ21" s="19">
        <f>285203-BA21</f>
        <v>183964</v>
      </c>
      <c r="BA21" s="19">
        <f t="shared" si="4"/>
        <v>101239</v>
      </c>
      <c r="BB21" s="181">
        <v>12818</v>
      </c>
      <c r="BC21" s="181">
        <v>17342</v>
      </c>
      <c r="BD21" s="181">
        <v>25428</v>
      </c>
      <c r="BE21" s="181">
        <v>24440</v>
      </c>
      <c r="BF21" s="181">
        <v>21211</v>
      </c>
      <c r="BG21" s="181">
        <v>0</v>
      </c>
      <c r="BH21" s="181">
        <v>0</v>
      </c>
      <c r="BI21" s="181">
        <v>0</v>
      </c>
      <c r="BJ21" s="181">
        <v>0</v>
      </c>
      <c r="BK21" s="181">
        <v>0</v>
      </c>
      <c r="BL21" s="181">
        <v>0</v>
      </c>
      <c r="BM21" s="181">
        <v>0</v>
      </c>
      <c r="BN21" s="37" t="s">
        <v>47</v>
      </c>
      <c r="BO21" s="19">
        <f t="shared" si="5"/>
        <v>285203</v>
      </c>
      <c r="BP21" s="19">
        <f t="shared" si="6"/>
        <v>344797</v>
      </c>
      <c r="BQ21" s="29">
        <f t="shared" si="7"/>
        <v>0.45270317460317461</v>
      </c>
      <c r="BR21" s="15"/>
      <c r="BS21" s="94"/>
    </row>
    <row r="22" spans="1:74" ht="34" hidden="1" customHeight="1" outlineLevel="1">
      <c r="A22" s="2"/>
      <c r="B22" s="82" t="s">
        <v>47</v>
      </c>
      <c r="C22" s="113" t="s">
        <v>122</v>
      </c>
      <c r="D22" s="114" t="s">
        <v>47</v>
      </c>
      <c r="E22" s="115" t="s">
        <v>123</v>
      </c>
      <c r="F22" s="116" t="s">
        <v>54</v>
      </c>
      <c r="G22" s="116" t="s">
        <v>55</v>
      </c>
      <c r="H22" s="116" t="s">
        <v>120</v>
      </c>
      <c r="I22" s="116" t="s">
        <v>47</v>
      </c>
      <c r="J22" s="116" t="s">
        <v>47</v>
      </c>
      <c r="K22" s="116" t="s">
        <v>47</v>
      </c>
      <c r="L22" s="120">
        <v>45693</v>
      </c>
      <c r="M22" s="121">
        <v>212</v>
      </c>
      <c r="N22" s="121">
        <v>268</v>
      </c>
      <c r="O22" s="121">
        <v>0</v>
      </c>
      <c r="P22" s="121">
        <v>0</v>
      </c>
      <c r="Q22" s="121">
        <v>0</v>
      </c>
      <c r="R22" s="121">
        <v>0</v>
      </c>
      <c r="S22" s="118"/>
      <c r="T22" s="119"/>
      <c r="U22" s="118"/>
      <c r="V22" s="118"/>
      <c r="W22" s="119"/>
      <c r="X22" s="118"/>
      <c r="Y22" s="119"/>
      <c r="Z22" s="118"/>
      <c r="AA22" s="118"/>
      <c r="AB22" s="119"/>
      <c r="AC22" s="118"/>
      <c r="AD22" s="120">
        <v>45693</v>
      </c>
      <c r="AE22" s="121">
        <v>212</v>
      </c>
      <c r="AF22" s="121">
        <v>268</v>
      </c>
      <c r="AG22" s="121">
        <v>0</v>
      </c>
      <c r="AH22" s="121">
        <v>0</v>
      </c>
      <c r="AI22" s="121">
        <v>0</v>
      </c>
      <c r="AJ22" s="121">
        <v>0</v>
      </c>
      <c r="AK22" s="121">
        <v>0</v>
      </c>
      <c r="AL22" s="122">
        <f t="shared" si="9"/>
        <v>268</v>
      </c>
      <c r="AM22" s="123">
        <v>1</v>
      </c>
      <c r="AN22" s="124">
        <f t="shared" si="10"/>
        <v>46173</v>
      </c>
      <c r="AO22" s="125" t="s">
        <v>128</v>
      </c>
      <c r="AP22" s="169" t="s">
        <v>245</v>
      </c>
      <c r="AQ22" s="209">
        <v>80000</v>
      </c>
      <c r="AR22" s="127">
        <v>85000</v>
      </c>
      <c r="AS22" s="127">
        <v>0</v>
      </c>
      <c r="AT22" s="127">
        <v>0</v>
      </c>
      <c r="AU22" s="127">
        <v>0</v>
      </c>
      <c r="AV22" s="127">
        <v>0</v>
      </c>
      <c r="AW22" s="127">
        <v>0</v>
      </c>
      <c r="AX22" s="128">
        <f t="shared" si="2"/>
        <v>85000</v>
      </c>
      <c r="AY22" s="128">
        <f>AQ22+AX22</f>
        <v>165000</v>
      </c>
      <c r="AZ22" s="128">
        <v>46016.91</v>
      </c>
      <c r="BA22" s="126">
        <f t="shared" si="4"/>
        <v>0</v>
      </c>
      <c r="BB22" s="126">
        <v>0</v>
      </c>
      <c r="BC22" s="183">
        <v>0</v>
      </c>
      <c r="BD22" s="183">
        <v>0</v>
      </c>
      <c r="BE22" s="183">
        <v>0</v>
      </c>
      <c r="BF22" s="183">
        <v>0</v>
      </c>
      <c r="BG22" s="183">
        <v>0</v>
      </c>
      <c r="BH22" s="183">
        <v>0</v>
      </c>
      <c r="BI22" s="183">
        <v>0</v>
      </c>
      <c r="BJ22" s="183">
        <v>0</v>
      </c>
      <c r="BK22" s="183">
        <v>0</v>
      </c>
      <c r="BL22" s="183">
        <v>0</v>
      </c>
      <c r="BM22" s="183">
        <v>0</v>
      </c>
      <c r="BN22" s="183" t="s">
        <v>47</v>
      </c>
      <c r="BO22" s="126">
        <f t="shared" si="5"/>
        <v>46016.91</v>
      </c>
      <c r="BP22" s="126">
        <f t="shared" si="6"/>
        <v>118983.09</v>
      </c>
      <c r="BQ22" s="129">
        <f t="shared" si="7"/>
        <v>0.27889036363636366</v>
      </c>
      <c r="BR22" s="15"/>
      <c r="BS22" s="94"/>
    </row>
    <row r="23" spans="1:74" ht="34" hidden="1" customHeight="1" outlineLevel="1">
      <c r="A23" s="2"/>
      <c r="B23" s="82" t="s">
        <v>47</v>
      </c>
      <c r="C23" s="113" t="s">
        <v>126</v>
      </c>
      <c r="D23" s="114" t="s">
        <v>47</v>
      </c>
      <c r="E23" s="115" t="s">
        <v>127</v>
      </c>
      <c r="F23" s="116" t="s">
        <v>54</v>
      </c>
      <c r="G23" s="116" t="s">
        <v>55</v>
      </c>
      <c r="H23" s="116" t="s">
        <v>120</v>
      </c>
      <c r="I23" s="116" t="s">
        <v>47</v>
      </c>
      <c r="J23" s="116" t="s">
        <v>47</v>
      </c>
      <c r="K23" s="116" t="s">
        <v>47</v>
      </c>
      <c r="L23" s="117"/>
      <c r="M23" s="118"/>
      <c r="N23" s="119"/>
      <c r="O23" s="118"/>
      <c r="P23" s="118"/>
      <c r="Q23" s="119"/>
      <c r="R23" s="118"/>
      <c r="S23" s="118"/>
      <c r="T23" s="119"/>
      <c r="U23" s="118"/>
      <c r="V23" s="118"/>
      <c r="W23" s="119"/>
      <c r="X23" s="118"/>
      <c r="Y23" s="119"/>
      <c r="Z23" s="118"/>
      <c r="AA23" s="118"/>
      <c r="AB23" s="119"/>
      <c r="AC23" s="118"/>
      <c r="AD23" s="120">
        <v>45761</v>
      </c>
      <c r="AE23" s="121">
        <v>113</v>
      </c>
      <c r="AF23" s="121">
        <v>299</v>
      </c>
      <c r="AG23" s="121">
        <v>0</v>
      </c>
      <c r="AH23" s="121">
        <v>0</v>
      </c>
      <c r="AI23" s="121">
        <v>0</v>
      </c>
      <c r="AJ23" s="121">
        <v>0</v>
      </c>
      <c r="AK23" s="121">
        <v>0</v>
      </c>
      <c r="AL23" s="122">
        <f t="shared" si="9"/>
        <v>299</v>
      </c>
      <c r="AM23" s="123">
        <v>1</v>
      </c>
      <c r="AN23" s="124">
        <f t="shared" si="10"/>
        <v>46173</v>
      </c>
      <c r="AO23" s="125" t="s">
        <v>128</v>
      </c>
      <c r="AP23" s="169" t="s">
        <v>129</v>
      </c>
      <c r="AQ23" s="209">
        <v>84000</v>
      </c>
      <c r="AR23" s="127">
        <v>200000</v>
      </c>
      <c r="AS23" s="127">
        <v>0</v>
      </c>
      <c r="AT23" s="127">
        <v>0</v>
      </c>
      <c r="AU23" s="127">
        <v>0</v>
      </c>
      <c r="AV23" s="127">
        <v>0</v>
      </c>
      <c r="AW23" s="127">
        <v>0</v>
      </c>
      <c r="AX23" s="128">
        <f t="shared" si="2"/>
        <v>200000</v>
      </c>
      <c r="AY23" s="128">
        <f t="shared" si="3"/>
        <v>284000</v>
      </c>
      <c r="AZ23" s="126">
        <v>92674</v>
      </c>
      <c r="BA23" s="126">
        <f t="shared" si="4"/>
        <v>0</v>
      </c>
      <c r="BB23" s="183">
        <v>0</v>
      </c>
      <c r="BC23" s="183">
        <v>0</v>
      </c>
      <c r="BD23" s="183">
        <v>0</v>
      </c>
      <c r="BE23" s="183">
        <v>0</v>
      </c>
      <c r="BF23" s="183">
        <v>0</v>
      </c>
      <c r="BG23" s="183">
        <v>0</v>
      </c>
      <c r="BH23" s="183">
        <v>0</v>
      </c>
      <c r="BI23" s="183">
        <v>0</v>
      </c>
      <c r="BJ23" s="183">
        <v>0</v>
      </c>
      <c r="BK23" s="183">
        <v>0</v>
      </c>
      <c r="BL23" s="183">
        <v>0</v>
      </c>
      <c r="BM23" s="183">
        <v>0</v>
      </c>
      <c r="BN23" s="126" t="s">
        <v>47</v>
      </c>
      <c r="BO23" s="126">
        <f t="shared" si="5"/>
        <v>92674</v>
      </c>
      <c r="BP23" s="126">
        <f t="shared" si="6"/>
        <v>191326</v>
      </c>
      <c r="BQ23" s="129">
        <f t="shared" si="7"/>
        <v>0.32631690140845071</v>
      </c>
      <c r="BR23" s="130"/>
      <c r="BS23" s="94"/>
    </row>
    <row r="24" spans="1:74" ht="34" customHeight="1" collapsed="1">
      <c r="A24" s="81"/>
      <c r="B24" s="82">
        <v>16</v>
      </c>
      <c r="C24" s="50" t="s">
        <v>133</v>
      </c>
      <c r="D24" s="21" t="s">
        <v>134</v>
      </c>
      <c r="E24" s="20" t="s">
        <v>135</v>
      </c>
      <c r="F24" s="33" t="s">
        <v>44</v>
      </c>
      <c r="G24" s="23" t="s">
        <v>45</v>
      </c>
      <c r="H24" s="23" t="s">
        <v>136</v>
      </c>
      <c r="I24" s="23" t="s">
        <v>47</v>
      </c>
      <c r="J24" s="23" t="s">
        <v>48</v>
      </c>
      <c r="K24" s="23" t="s">
        <v>47</v>
      </c>
      <c r="L24" s="17"/>
      <c r="M24" s="17"/>
      <c r="N24" s="31"/>
      <c r="O24" s="17"/>
      <c r="P24" s="31"/>
      <c r="Q24" s="17"/>
      <c r="R24" s="31"/>
      <c r="S24" s="17"/>
      <c r="T24" s="31"/>
      <c r="U24" s="17"/>
      <c r="V24" s="31"/>
      <c r="W24" s="30"/>
      <c r="X24" s="31"/>
      <c r="Y24" s="30"/>
      <c r="Z24" s="31"/>
      <c r="AA24" s="32"/>
      <c r="AB24" s="31"/>
      <c r="AC24" s="17"/>
      <c r="AD24" s="22">
        <v>46098</v>
      </c>
      <c r="AE24" s="18">
        <v>183</v>
      </c>
      <c r="AF24" s="18">
        <v>0</v>
      </c>
      <c r="AG24" s="18">
        <v>0</v>
      </c>
      <c r="AH24" s="18">
        <v>0</v>
      </c>
      <c r="AI24" s="18">
        <v>0</v>
      </c>
      <c r="AJ24" s="18">
        <v>0</v>
      </c>
      <c r="AK24" s="18">
        <v>0</v>
      </c>
      <c r="AL24" s="26">
        <f t="shared" si="9"/>
        <v>0</v>
      </c>
      <c r="AM24" s="37">
        <v>0</v>
      </c>
      <c r="AN24" s="25">
        <f t="shared" si="10"/>
        <v>46281</v>
      </c>
      <c r="AO24" s="27">
        <f t="shared" ref="AO24:AO48" ca="1" si="12">AN24-$AN$1</f>
        <v>78</v>
      </c>
      <c r="AP24" s="165" t="s">
        <v>2</v>
      </c>
      <c r="AQ24" s="19">
        <v>2360150</v>
      </c>
      <c r="AR24" s="91">
        <v>0</v>
      </c>
      <c r="AS24" s="91">
        <v>0</v>
      </c>
      <c r="AT24" s="91">
        <v>0</v>
      </c>
      <c r="AU24" s="91">
        <v>0</v>
      </c>
      <c r="AV24" s="91">
        <v>0</v>
      </c>
      <c r="AW24" s="91">
        <v>0</v>
      </c>
      <c r="AX24" s="28">
        <f t="shared" si="2"/>
        <v>0</v>
      </c>
      <c r="AY24" s="28">
        <f t="shared" si="3"/>
        <v>2360150</v>
      </c>
      <c r="AZ24" s="19">
        <v>0</v>
      </c>
      <c r="BA24" s="19">
        <f t="shared" si="4"/>
        <v>0</v>
      </c>
      <c r="BB24" s="181">
        <v>0</v>
      </c>
      <c r="BC24" s="181">
        <v>0</v>
      </c>
      <c r="BD24" s="181">
        <v>0</v>
      </c>
      <c r="BE24" s="181">
        <v>0</v>
      </c>
      <c r="BF24" s="181">
        <v>0</v>
      </c>
      <c r="BG24" s="181">
        <v>0</v>
      </c>
      <c r="BH24" s="181">
        <v>0</v>
      </c>
      <c r="BI24" s="181">
        <v>0</v>
      </c>
      <c r="BJ24" s="181">
        <v>0</v>
      </c>
      <c r="BK24" s="181">
        <v>0</v>
      </c>
      <c r="BL24" s="181">
        <v>0</v>
      </c>
      <c r="BM24" s="181">
        <v>0</v>
      </c>
      <c r="BN24" s="37">
        <v>0</v>
      </c>
      <c r="BO24" s="19">
        <f t="shared" si="5"/>
        <v>0</v>
      </c>
      <c r="BP24" s="19">
        <f t="shared" si="6"/>
        <v>2360150</v>
      </c>
      <c r="BQ24" s="29">
        <f t="shared" si="7"/>
        <v>0</v>
      </c>
      <c r="BR24" s="15"/>
      <c r="BS24" s="14" t="s">
        <v>137</v>
      </c>
      <c r="BT24" s="34"/>
    </row>
    <row r="25" spans="1:74" ht="34" customHeight="1">
      <c r="A25" s="81"/>
      <c r="B25" s="82">
        <v>17</v>
      </c>
      <c r="C25" s="50" t="s">
        <v>138</v>
      </c>
      <c r="D25" s="21" t="s">
        <v>139</v>
      </c>
      <c r="E25" s="20" t="s">
        <v>140</v>
      </c>
      <c r="F25" s="33" t="s">
        <v>44</v>
      </c>
      <c r="G25" s="23" t="s">
        <v>45</v>
      </c>
      <c r="H25" s="23" t="s">
        <v>136</v>
      </c>
      <c r="I25" s="23" t="s">
        <v>47</v>
      </c>
      <c r="J25" s="23" t="s">
        <v>48</v>
      </c>
      <c r="K25" s="23" t="s">
        <v>47</v>
      </c>
      <c r="L25" s="17"/>
      <c r="M25" s="17"/>
      <c r="N25" s="31"/>
      <c r="O25" s="17"/>
      <c r="P25" s="31"/>
      <c r="Q25" s="17"/>
      <c r="R25" s="31"/>
      <c r="S25" s="17"/>
      <c r="T25" s="31"/>
      <c r="U25" s="17"/>
      <c r="V25" s="31"/>
      <c r="W25" s="30"/>
      <c r="X25" s="31"/>
      <c r="Y25" s="30"/>
      <c r="Z25" s="31"/>
      <c r="AA25" s="32"/>
      <c r="AB25" s="31"/>
      <c r="AC25" s="17"/>
      <c r="AD25" s="22">
        <v>45596</v>
      </c>
      <c r="AE25" s="18">
        <v>760</v>
      </c>
      <c r="AF25" s="98">
        <v>0</v>
      </c>
      <c r="AG25" s="18">
        <v>0</v>
      </c>
      <c r="AH25" s="18">
        <v>0</v>
      </c>
      <c r="AI25" s="18">
        <v>0</v>
      </c>
      <c r="AJ25" s="18">
        <v>0</v>
      </c>
      <c r="AK25" s="18">
        <v>0</v>
      </c>
      <c r="AL25" s="26">
        <f t="shared" si="9"/>
        <v>0</v>
      </c>
      <c r="AM25" s="37">
        <v>1</v>
      </c>
      <c r="AN25" s="25">
        <f t="shared" si="10"/>
        <v>46356</v>
      </c>
      <c r="AO25" s="27">
        <f t="shared" ca="1" si="12"/>
        <v>153</v>
      </c>
      <c r="AP25" s="165" t="s">
        <v>2</v>
      </c>
      <c r="AQ25" s="19">
        <v>786960</v>
      </c>
      <c r="AR25" s="100">
        <v>0</v>
      </c>
      <c r="AS25" s="91">
        <v>0</v>
      </c>
      <c r="AT25" s="91">
        <v>0</v>
      </c>
      <c r="AU25" s="91">
        <v>0</v>
      </c>
      <c r="AV25" s="91">
        <v>0</v>
      </c>
      <c r="AW25" s="91">
        <v>0</v>
      </c>
      <c r="AX25" s="28">
        <f t="shared" ref="AX25" si="13">AR25+AS25+AT25+AU25+AW25</f>
        <v>0</v>
      </c>
      <c r="AY25" s="28">
        <f t="shared" si="3"/>
        <v>786960</v>
      </c>
      <c r="AZ25" s="19">
        <v>269040</v>
      </c>
      <c r="BA25" s="19">
        <f t="shared" si="4"/>
        <v>282841.74</v>
      </c>
      <c r="BB25" s="181">
        <v>0</v>
      </c>
      <c r="BC25" s="181">
        <v>0</v>
      </c>
      <c r="BD25" s="181">
        <v>0</v>
      </c>
      <c r="BE25" s="181">
        <v>0</v>
      </c>
      <c r="BF25" s="181">
        <v>0</v>
      </c>
      <c r="BG25" s="181">
        <v>0</v>
      </c>
      <c r="BH25" s="181">
        <v>0</v>
      </c>
      <c r="BI25" s="181">
        <v>0</v>
      </c>
      <c r="BJ25" s="181">
        <v>0</v>
      </c>
      <c r="BK25" s="181">
        <v>282841.74</v>
      </c>
      <c r="BL25" s="181">
        <v>0</v>
      </c>
      <c r="BM25" s="181">
        <v>0</v>
      </c>
      <c r="BN25" s="37">
        <v>2</v>
      </c>
      <c r="BO25" s="19">
        <f t="shared" ref="BO25" si="14">AZ25+BA25</f>
        <v>551881.74</v>
      </c>
      <c r="BP25" s="19">
        <f t="shared" ref="BP25" si="15">AY25-BO25</f>
        <v>235078.26</v>
      </c>
      <c r="BQ25" s="29">
        <f t="shared" si="7"/>
        <v>0.70128308935651107</v>
      </c>
      <c r="BR25" s="15"/>
      <c r="BS25" s="14" t="s">
        <v>137</v>
      </c>
      <c r="BT25" s="34"/>
    </row>
    <row r="26" spans="1:74" ht="34" customHeight="1">
      <c r="A26" s="81"/>
      <c r="B26" s="82">
        <v>18</v>
      </c>
      <c r="C26" s="50" t="s">
        <v>141</v>
      </c>
      <c r="D26" s="21" t="s">
        <v>142</v>
      </c>
      <c r="E26" s="20" t="s">
        <v>143</v>
      </c>
      <c r="F26" s="23" t="s">
        <v>54</v>
      </c>
      <c r="G26" s="23" t="s">
        <v>55</v>
      </c>
      <c r="H26" s="23" t="s">
        <v>56</v>
      </c>
      <c r="I26" s="23" t="s">
        <v>47</v>
      </c>
      <c r="J26" s="23" t="s">
        <v>57</v>
      </c>
      <c r="K26" s="23" t="s">
        <v>144</v>
      </c>
      <c r="L26" s="131" t="s">
        <v>112</v>
      </c>
      <c r="M26" s="131" t="s">
        <v>112</v>
      </c>
      <c r="N26" s="132">
        <v>46086</v>
      </c>
      <c r="O26" s="17"/>
      <c r="P26" s="31"/>
      <c r="Q26" s="17"/>
      <c r="R26" s="31"/>
      <c r="S26" s="17"/>
      <c r="T26" s="31"/>
      <c r="U26" s="17"/>
      <c r="V26" s="31"/>
      <c r="W26" s="30"/>
      <c r="X26" s="31"/>
      <c r="Y26" s="30"/>
      <c r="Z26" s="31"/>
      <c r="AA26" s="32"/>
      <c r="AB26" s="31"/>
      <c r="AC26" s="17"/>
      <c r="AD26" s="22">
        <v>45260</v>
      </c>
      <c r="AE26" s="18">
        <v>730</v>
      </c>
      <c r="AF26" s="98">
        <v>365</v>
      </c>
      <c r="AG26" s="18">
        <v>0</v>
      </c>
      <c r="AH26" s="18">
        <v>0</v>
      </c>
      <c r="AI26" s="18">
        <v>0</v>
      </c>
      <c r="AJ26" s="18">
        <v>0</v>
      </c>
      <c r="AK26" s="18">
        <v>0</v>
      </c>
      <c r="AL26" s="26">
        <f t="shared" si="9"/>
        <v>365</v>
      </c>
      <c r="AM26" s="37">
        <v>1</v>
      </c>
      <c r="AN26" s="25">
        <f t="shared" si="10"/>
        <v>46355</v>
      </c>
      <c r="AO26" s="27">
        <f t="shared" ca="1" si="12"/>
        <v>152</v>
      </c>
      <c r="AP26" s="165" t="s">
        <v>145</v>
      </c>
      <c r="AQ26" s="19">
        <v>1100000</v>
      </c>
      <c r="AR26" s="100">
        <v>0</v>
      </c>
      <c r="AS26" s="91">
        <v>0</v>
      </c>
      <c r="AT26" s="91">
        <v>0</v>
      </c>
      <c r="AU26" s="91">
        <v>0</v>
      </c>
      <c r="AV26" s="91">
        <v>0</v>
      </c>
      <c r="AW26" s="91">
        <v>0</v>
      </c>
      <c r="AX26" s="28">
        <f>AR26+AS26+AT26+AU26+AW26</f>
        <v>0</v>
      </c>
      <c r="AY26" s="28">
        <f t="shared" si="3"/>
        <v>1100000</v>
      </c>
      <c r="AZ26" s="19">
        <v>683274.55</v>
      </c>
      <c r="BA26" s="19">
        <f t="shared" si="4"/>
        <v>44036.86</v>
      </c>
      <c r="BB26" s="181">
        <v>44036.86</v>
      </c>
      <c r="BC26" s="181">
        <v>0</v>
      </c>
      <c r="BD26" s="181">
        <v>0</v>
      </c>
      <c r="BE26" s="181">
        <v>0</v>
      </c>
      <c r="BF26" s="181">
        <v>0</v>
      </c>
      <c r="BG26" s="181">
        <v>0</v>
      </c>
      <c r="BH26" s="181">
        <v>0</v>
      </c>
      <c r="BI26" s="181">
        <v>0</v>
      </c>
      <c r="BJ26" s="181">
        <v>0</v>
      </c>
      <c r="BK26" s="181">
        <v>0</v>
      </c>
      <c r="BL26" s="181">
        <v>0</v>
      </c>
      <c r="BM26" s="181">
        <v>0</v>
      </c>
      <c r="BN26" s="21">
        <v>10</v>
      </c>
      <c r="BO26" s="19">
        <f>AZ26+BA26</f>
        <v>727311.41</v>
      </c>
      <c r="BP26" s="19">
        <f>AY26-BO26</f>
        <v>372688.58999999997</v>
      </c>
      <c r="BQ26" s="29">
        <f t="shared" si="7"/>
        <v>0.66119219090909098</v>
      </c>
      <c r="BR26" s="15"/>
      <c r="BS26" s="14" t="s">
        <v>137</v>
      </c>
      <c r="BT26" s="34"/>
    </row>
    <row r="27" spans="1:74" ht="34" customHeight="1">
      <c r="A27" s="81"/>
      <c r="B27" s="82">
        <v>19</v>
      </c>
      <c r="C27" s="50" t="s">
        <v>51</v>
      </c>
      <c r="D27" s="21" t="s">
        <v>146</v>
      </c>
      <c r="E27" s="20" t="s">
        <v>147</v>
      </c>
      <c r="F27" s="23" t="s">
        <v>54</v>
      </c>
      <c r="G27" s="23" t="s">
        <v>55</v>
      </c>
      <c r="H27" s="23" t="s">
        <v>56</v>
      </c>
      <c r="I27" s="23" t="s">
        <v>61</v>
      </c>
      <c r="J27" s="23" t="s">
        <v>57</v>
      </c>
      <c r="K27" s="23" t="s">
        <v>61</v>
      </c>
      <c r="L27" s="22">
        <v>45719</v>
      </c>
      <c r="M27" s="22">
        <v>45726</v>
      </c>
      <c r="N27" s="22">
        <v>45786</v>
      </c>
      <c r="O27" s="22">
        <v>45961</v>
      </c>
      <c r="P27" s="22">
        <v>45994</v>
      </c>
      <c r="Q27" s="22">
        <v>46035</v>
      </c>
      <c r="R27" s="22" t="s">
        <v>75</v>
      </c>
      <c r="S27" s="22">
        <v>46063</v>
      </c>
      <c r="T27" s="22">
        <v>46085</v>
      </c>
      <c r="U27" s="17"/>
      <c r="V27" s="31"/>
      <c r="W27" s="30"/>
      <c r="X27" s="31"/>
      <c r="Y27" s="30"/>
      <c r="Z27" s="31"/>
      <c r="AA27" s="32"/>
      <c r="AB27" s="31"/>
      <c r="AC27" s="17"/>
      <c r="AD27" s="22">
        <v>45408</v>
      </c>
      <c r="AE27" s="18">
        <v>240</v>
      </c>
      <c r="AF27" s="98">
        <v>734</v>
      </c>
      <c r="AG27" s="98">
        <v>0</v>
      </c>
      <c r="AH27" s="98">
        <v>0</v>
      </c>
      <c r="AI27" s="18">
        <v>0</v>
      </c>
      <c r="AJ27" s="18">
        <v>0</v>
      </c>
      <c r="AK27" s="18">
        <v>0</v>
      </c>
      <c r="AL27" s="26">
        <f t="shared" si="9"/>
        <v>734</v>
      </c>
      <c r="AM27" s="37">
        <v>3</v>
      </c>
      <c r="AN27" s="25">
        <f t="shared" si="10"/>
        <v>46382</v>
      </c>
      <c r="AO27" s="27">
        <f t="shared" ca="1" si="12"/>
        <v>179</v>
      </c>
      <c r="AP27" s="165"/>
      <c r="AQ27" s="19">
        <v>3132000</v>
      </c>
      <c r="AR27" s="100">
        <v>0</v>
      </c>
      <c r="AS27" s="100">
        <v>2930779</v>
      </c>
      <c r="AT27" s="100">
        <v>0</v>
      </c>
      <c r="AU27" s="91">
        <v>0</v>
      </c>
      <c r="AV27" s="91">
        <v>0</v>
      </c>
      <c r="AW27" s="91">
        <v>0</v>
      </c>
      <c r="AX27" s="28">
        <f>AR27+AS27+AT27+AU27+AW27</f>
        <v>2930779</v>
      </c>
      <c r="AY27" s="28">
        <f t="shared" si="3"/>
        <v>6062779</v>
      </c>
      <c r="AZ27" s="19">
        <v>3619830.38</v>
      </c>
      <c r="BA27" s="19">
        <f t="shared" si="4"/>
        <v>743570.92999999993</v>
      </c>
      <c r="BB27" s="181">
        <v>223388.11</v>
      </c>
      <c r="BC27" s="181">
        <v>94340.44</v>
      </c>
      <c r="BD27" s="181">
        <v>152352.75</v>
      </c>
      <c r="BE27" s="181">
        <v>154867.94</v>
      </c>
      <c r="BF27" s="181">
        <f>103923.17+14698.52</f>
        <v>118621.69</v>
      </c>
      <c r="BG27" s="181">
        <v>0</v>
      </c>
      <c r="BH27" s="181">
        <v>0</v>
      </c>
      <c r="BI27" s="181">
        <v>0</v>
      </c>
      <c r="BJ27" s="181">
        <v>0</v>
      </c>
      <c r="BK27" s="181">
        <v>0</v>
      </c>
      <c r="BL27" s="181">
        <v>0</v>
      </c>
      <c r="BM27" s="181">
        <v>0</v>
      </c>
      <c r="BN27" s="37">
        <v>26</v>
      </c>
      <c r="BO27" s="19">
        <f t="shared" ref="BO27:BO32" si="16">AZ27+BA27</f>
        <v>4363401.3099999996</v>
      </c>
      <c r="BP27" s="19">
        <f>AY27-BO27</f>
        <v>1699377.6900000004</v>
      </c>
      <c r="BQ27" s="29">
        <f t="shared" si="7"/>
        <v>0.71970317737130107</v>
      </c>
      <c r="BR27" s="15"/>
      <c r="BS27" s="94"/>
      <c r="BT27" s="34"/>
    </row>
    <row r="28" spans="1:74" ht="34" customHeight="1">
      <c r="A28" s="81"/>
      <c r="B28" s="82">
        <v>20</v>
      </c>
      <c r="C28" s="50" t="s">
        <v>148</v>
      </c>
      <c r="D28" s="21" t="s">
        <v>149</v>
      </c>
      <c r="E28" s="20" t="s">
        <v>150</v>
      </c>
      <c r="F28" s="33" t="s">
        <v>44</v>
      </c>
      <c r="G28" s="23" t="s">
        <v>45</v>
      </c>
      <c r="H28" s="23" t="s">
        <v>49</v>
      </c>
      <c r="I28" s="23" t="s">
        <v>47</v>
      </c>
      <c r="J28" s="23" t="s">
        <v>48</v>
      </c>
      <c r="K28" s="23" t="s">
        <v>47</v>
      </c>
      <c r="L28" s="17"/>
      <c r="M28" s="31"/>
      <c r="N28" s="17"/>
      <c r="O28" s="17"/>
      <c r="P28" s="31"/>
      <c r="Q28" s="106"/>
      <c r="R28" s="32"/>
      <c r="S28" s="17"/>
      <c r="T28" s="31"/>
      <c r="U28" s="17"/>
      <c r="V28" s="31"/>
      <c r="W28" s="30"/>
      <c r="X28" s="31"/>
      <c r="Y28" s="30"/>
      <c r="Z28" s="31"/>
      <c r="AA28" s="32"/>
      <c r="AB28" s="31"/>
      <c r="AC28" s="17"/>
      <c r="AD28" s="22">
        <v>46020</v>
      </c>
      <c r="AE28" s="18">
        <v>364</v>
      </c>
      <c r="AF28" s="18">
        <v>0</v>
      </c>
      <c r="AG28" s="18">
        <v>0</v>
      </c>
      <c r="AH28" s="18">
        <v>0</v>
      </c>
      <c r="AI28" s="18">
        <v>0</v>
      </c>
      <c r="AJ28" s="18">
        <v>0</v>
      </c>
      <c r="AK28" s="18">
        <v>0</v>
      </c>
      <c r="AL28" s="26">
        <f t="shared" si="9"/>
        <v>0</v>
      </c>
      <c r="AM28" s="37">
        <v>0</v>
      </c>
      <c r="AN28" s="25">
        <f t="shared" si="10"/>
        <v>46384</v>
      </c>
      <c r="AO28" s="27">
        <f t="shared" ca="1" si="12"/>
        <v>181</v>
      </c>
      <c r="AP28" s="165" t="s">
        <v>151</v>
      </c>
      <c r="AQ28" s="19">
        <v>53000</v>
      </c>
      <c r="AR28" s="91">
        <v>0</v>
      </c>
      <c r="AS28" s="91">
        <v>0</v>
      </c>
      <c r="AT28" s="91">
        <v>0</v>
      </c>
      <c r="AU28" s="91">
        <v>0</v>
      </c>
      <c r="AV28" s="91">
        <v>0</v>
      </c>
      <c r="AW28" s="91">
        <v>0</v>
      </c>
      <c r="AX28" s="28">
        <f t="shared" ref="AX28" si="17">AR28+AS28+AT28+AU28+AW28</f>
        <v>0</v>
      </c>
      <c r="AY28" s="28">
        <f t="shared" ref="AY28" si="18">AQ28+AX28</f>
        <v>53000</v>
      </c>
      <c r="AZ28" s="19">
        <v>0</v>
      </c>
      <c r="BA28" s="19">
        <f t="shared" si="4"/>
        <v>53000</v>
      </c>
      <c r="BB28" s="181">
        <v>26500</v>
      </c>
      <c r="BC28" s="181">
        <v>0</v>
      </c>
      <c r="BD28" s="181">
        <v>26500</v>
      </c>
      <c r="BE28" s="181">
        <v>0</v>
      </c>
      <c r="BF28" s="181">
        <v>0</v>
      </c>
      <c r="BG28" s="181">
        <v>0</v>
      </c>
      <c r="BH28" s="181">
        <v>0</v>
      </c>
      <c r="BI28" s="181">
        <v>0</v>
      </c>
      <c r="BJ28" s="181">
        <v>0</v>
      </c>
      <c r="BK28" s="181">
        <v>0</v>
      </c>
      <c r="BL28" s="181">
        <v>0</v>
      </c>
      <c r="BM28" s="181">
        <v>0</v>
      </c>
      <c r="BN28" s="37">
        <v>2</v>
      </c>
      <c r="BO28" s="19">
        <f t="shared" si="16"/>
        <v>53000</v>
      </c>
      <c r="BP28" s="19">
        <f t="shared" ref="BP28" si="19">AY28-BO28</f>
        <v>0</v>
      </c>
      <c r="BQ28" s="29">
        <f t="shared" si="7"/>
        <v>1</v>
      </c>
      <c r="BR28" s="133"/>
      <c r="BS28" s="134"/>
      <c r="BT28" s="34"/>
    </row>
    <row r="29" spans="1:74" ht="34" customHeight="1">
      <c r="A29" s="81"/>
      <c r="B29" s="82">
        <v>21</v>
      </c>
      <c r="C29" s="50" t="s">
        <v>152</v>
      </c>
      <c r="D29" s="21" t="s">
        <v>153</v>
      </c>
      <c r="E29" s="20" t="s">
        <v>154</v>
      </c>
      <c r="F29" s="23" t="s">
        <v>54</v>
      </c>
      <c r="G29" s="23" t="s">
        <v>55</v>
      </c>
      <c r="H29" s="23" t="s">
        <v>56</v>
      </c>
      <c r="I29" s="23" t="s">
        <v>47</v>
      </c>
      <c r="J29" s="23" t="s">
        <v>57</v>
      </c>
      <c r="K29" s="23" t="s">
        <v>56</v>
      </c>
      <c r="L29" s="22" t="s">
        <v>112</v>
      </c>
      <c r="M29" s="22">
        <v>46113</v>
      </c>
      <c r="N29" s="22">
        <v>46126</v>
      </c>
      <c r="O29" s="17"/>
      <c r="P29" s="31"/>
      <c r="Q29" s="106"/>
      <c r="R29" s="32"/>
      <c r="S29" s="17"/>
      <c r="T29" s="31"/>
      <c r="U29" s="17"/>
      <c r="V29" s="31"/>
      <c r="W29" s="30"/>
      <c r="X29" s="31"/>
      <c r="Y29" s="30"/>
      <c r="Z29" s="31"/>
      <c r="AA29" s="32"/>
      <c r="AB29" s="31"/>
      <c r="AC29" s="17"/>
      <c r="AD29" s="22">
        <v>45769</v>
      </c>
      <c r="AE29" s="18">
        <v>365</v>
      </c>
      <c r="AF29" s="98">
        <v>252</v>
      </c>
      <c r="AG29" s="18">
        <v>0</v>
      </c>
      <c r="AH29" s="18">
        <v>0</v>
      </c>
      <c r="AI29" s="18">
        <v>0</v>
      </c>
      <c r="AJ29" s="18">
        <v>0</v>
      </c>
      <c r="AK29" s="18">
        <v>0</v>
      </c>
      <c r="AL29" s="26">
        <f t="shared" si="9"/>
        <v>252</v>
      </c>
      <c r="AM29" s="37">
        <v>1</v>
      </c>
      <c r="AN29" s="25">
        <f t="shared" si="10"/>
        <v>46386</v>
      </c>
      <c r="AO29" s="27">
        <f t="shared" ca="1" si="12"/>
        <v>183</v>
      </c>
      <c r="AP29" s="165" t="s">
        <v>2</v>
      </c>
      <c r="AQ29" s="19">
        <v>129560</v>
      </c>
      <c r="AR29" s="100">
        <v>0</v>
      </c>
      <c r="AS29" s="91">
        <v>0</v>
      </c>
      <c r="AT29" s="91">
        <v>0</v>
      </c>
      <c r="AU29" s="91">
        <v>0</v>
      </c>
      <c r="AV29" s="91">
        <v>0</v>
      </c>
      <c r="AW29" s="91">
        <v>0</v>
      </c>
      <c r="AX29" s="28">
        <f>AR29+AS29+AT29+AU29+AW29</f>
        <v>0</v>
      </c>
      <c r="AY29" s="28">
        <f>AQ29+AX29</f>
        <v>129560</v>
      </c>
      <c r="AZ29" s="19">
        <v>49742.5</v>
      </c>
      <c r="BA29" s="19">
        <f t="shared" si="4"/>
        <v>22162.5</v>
      </c>
      <c r="BB29" s="181">
        <v>0</v>
      </c>
      <c r="BC29" s="181">
        <v>0</v>
      </c>
      <c r="BD29" s="181">
        <v>0</v>
      </c>
      <c r="BE29" s="181">
        <v>22162.5</v>
      </c>
      <c r="BF29" s="181">
        <v>0</v>
      </c>
      <c r="BG29" s="181">
        <v>0</v>
      </c>
      <c r="BH29" s="181">
        <v>0</v>
      </c>
      <c r="BI29" s="181">
        <v>0</v>
      </c>
      <c r="BJ29" s="181">
        <v>0</v>
      </c>
      <c r="BK29" s="181">
        <v>0</v>
      </c>
      <c r="BL29" s="181">
        <v>0</v>
      </c>
      <c r="BM29" s="181">
        <v>0</v>
      </c>
      <c r="BN29" s="37">
        <v>2</v>
      </c>
      <c r="BO29" s="19">
        <f t="shared" si="16"/>
        <v>71905</v>
      </c>
      <c r="BP29" s="19">
        <f>AY29-BO29</f>
        <v>57655</v>
      </c>
      <c r="BQ29" s="29">
        <f t="shared" si="7"/>
        <v>0.5549938252547082</v>
      </c>
      <c r="BR29" s="133"/>
      <c r="BS29" s="134"/>
      <c r="BT29" s="34"/>
    </row>
    <row r="30" spans="1:74" ht="34" customHeight="1">
      <c r="A30" s="81"/>
      <c r="B30" s="82">
        <v>22</v>
      </c>
      <c r="C30" s="83" t="s">
        <v>155</v>
      </c>
      <c r="D30" s="21" t="s">
        <v>156</v>
      </c>
      <c r="E30" s="20" t="s">
        <v>157</v>
      </c>
      <c r="F30" s="33" t="s">
        <v>44</v>
      </c>
      <c r="G30" s="23" t="s">
        <v>158</v>
      </c>
      <c r="H30" s="23" t="s">
        <v>159</v>
      </c>
      <c r="I30" s="23" t="s">
        <v>47</v>
      </c>
      <c r="J30" s="23" t="s">
        <v>47</v>
      </c>
      <c r="K30" s="23" t="s">
        <v>47</v>
      </c>
      <c r="L30" s="22" t="s">
        <v>112</v>
      </c>
      <c r="M30" s="22">
        <v>46113</v>
      </c>
      <c r="N30" s="22">
        <v>46126</v>
      </c>
      <c r="O30" s="17"/>
      <c r="P30" s="31"/>
      <c r="Q30" s="106"/>
      <c r="R30" s="32"/>
      <c r="S30" s="17"/>
      <c r="T30" s="31"/>
      <c r="U30" s="17"/>
      <c r="V30" s="31"/>
      <c r="W30" s="30"/>
      <c r="X30" s="31"/>
      <c r="Y30" s="30"/>
      <c r="Z30" s="31"/>
      <c r="AA30" s="32"/>
      <c r="AB30" s="31"/>
      <c r="AC30" s="17"/>
      <c r="AD30" s="22">
        <v>45870</v>
      </c>
      <c r="AE30" s="18">
        <v>517</v>
      </c>
      <c r="AF30" s="18">
        <v>0</v>
      </c>
      <c r="AG30" s="18">
        <v>0</v>
      </c>
      <c r="AH30" s="18">
        <v>0</v>
      </c>
      <c r="AI30" s="18">
        <v>0</v>
      </c>
      <c r="AJ30" s="18">
        <v>0</v>
      </c>
      <c r="AK30" s="18">
        <v>0</v>
      </c>
      <c r="AL30" s="26">
        <f t="shared" si="9"/>
        <v>0</v>
      </c>
      <c r="AM30" s="37">
        <v>0</v>
      </c>
      <c r="AN30" s="25">
        <f t="shared" si="10"/>
        <v>46387</v>
      </c>
      <c r="AO30" s="27">
        <f t="shared" ca="1" si="12"/>
        <v>184</v>
      </c>
      <c r="AP30" s="165" t="s">
        <v>2</v>
      </c>
      <c r="AQ30" s="19">
        <v>137500</v>
      </c>
      <c r="AR30" s="91">
        <v>0</v>
      </c>
      <c r="AS30" s="91">
        <v>0</v>
      </c>
      <c r="AT30" s="91">
        <v>0</v>
      </c>
      <c r="AU30" s="91">
        <v>0</v>
      </c>
      <c r="AV30" s="91">
        <v>0</v>
      </c>
      <c r="AW30" s="91">
        <v>0</v>
      </c>
      <c r="AX30" s="28">
        <f>AR30+AS30+AT30+AU30+AW30</f>
        <v>0</v>
      </c>
      <c r="AY30" s="28">
        <f>AQ30+AX30</f>
        <v>137500</v>
      </c>
      <c r="AZ30" s="19">
        <v>52500</v>
      </c>
      <c r="BA30" s="19">
        <f t="shared" si="4"/>
        <v>22500</v>
      </c>
      <c r="BB30" s="181">
        <v>0</v>
      </c>
      <c r="BC30" s="181">
        <v>0</v>
      </c>
      <c r="BD30" s="181">
        <v>7500</v>
      </c>
      <c r="BE30" s="181">
        <v>7500</v>
      </c>
      <c r="BF30" s="181">
        <v>7500</v>
      </c>
      <c r="BG30" s="181">
        <v>0</v>
      </c>
      <c r="BH30" s="181">
        <v>0</v>
      </c>
      <c r="BI30" s="181">
        <v>0</v>
      </c>
      <c r="BJ30" s="181">
        <v>0</v>
      </c>
      <c r="BK30" s="181">
        <v>0</v>
      </c>
      <c r="BL30" s="181">
        <v>0</v>
      </c>
      <c r="BM30" s="181">
        <v>0</v>
      </c>
      <c r="BN30" s="37">
        <v>10</v>
      </c>
      <c r="BO30" s="19">
        <f t="shared" si="16"/>
        <v>75000</v>
      </c>
      <c r="BP30" s="19">
        <f>AY30-BO30</f>
        <v>62500</v>
      </c>
      <c r="BQ30" s="29">
        <f t="shared" si="7"/>
        <v>0.54545454545454541</v>
      </c>
      <c r="BR30" s="133"/>
      <c r="BS30" s="134"/>
      <c r="BT30" s="34"/>
    </row>
    <row r="31" spans="1:74" ht="34" customHeight="1">
      <c r="A31" s="81"/>
      <c r="B31" s="82">
        <v>23</v>
      </c>
      <c r="C31" s="50" t="s">
        <v>160</v>
      </c>
      <c r="D31" s="21" t="s">
        <v>161</v>
      </c>
      <c r="E31" s="20" t="s">
        <v>162</v>
      </c>
      <c r="F31" s="33" t="s">
        <v>44</v>
      </c>
      <c r="G31" s="23" t="s">
        <v>158</v>
      </c>
      <c r="H31" s="23" t="s">
        <v>159</v>
      </c>
      <c r="I31" s="23" t="s">
        <v>47</v>
      </c>
      <c r="J31" s="23" t="s">
        <v>47</v>
      </c>
      <c r="K31" s="23" t="s">
        <v>47</v>
      </c>
      <c r="L31" s="22" t="s">
        <v>112</v>
      </c>
      <c r="M31" s="22">
        <v>46113</v>
      </c>
      <c r="N31" s="22">
        <v>46126</v>
      </c>
      <c r="O31" s="17"/>
      <c r="P31" s="31"/>
      <c r="Q31" s="106"/>
      <c r="R31" s="32"/>
      <c r="S31" s="17"/>
      <c r="T31" s="31"/>
      <c r="U31" s="17"/>
      <c r="V31" s="31"/>
      <c r="W31" s="30"/>
      <c r="X31" s="31"/>
      <c r="Y31" s="30"/>
      <c r="Z31" s="31"/>
      <c r="AA31" s="32"/>
      <c r="AB31" s="31"/>
      <c r="AC31" s="17"/>
      <c r="AD31" s="22">
        <v>45870</v>
      </c>
      <c r="AE31" s="18">
        <v>517</v>
      </c>
      <c r="AF31" s="18">
        <v>0</v>
      </c>
      <c r="AG31" s="18">
        <v>0</v>
      </c>
      <c r="AH31" s="18">
        <v>0</v>
      </c>
      <c r="AI31" s="18">
        <v>0</v>
      </c>
      <c r="AJ31" s="18">
        <v>0</v>
      </c>
      <c r="AK31" s="18">
        <v>0</v>
      </c>
      <c r="AL31" s="26">
        <f t="shared" ref="AL31" si="20">AF31+AG31+AH31+AI31+AK31</f>
        <v>0</v>
      </c>
      <c r="AM31" s="37">
        <v>0</v>
      </c>
      <c r="AN31" s="25">
        <f t="shared" ref="AN31" si="21">AD31+AE31+AL31</f>
        <v>46387</v>
      </c>
      <c r="AO31" s="27">
        <f t="shared" ca="1" si="12"/>
        <v>184</v>
      </c>
      <c r="AP31" s="165" t="s">
        <v>2</v>
      </c>
      <c r="AQ31" s="19">
        <v>209737</v>
      </c>
      <c r="AR31" s="91">
        <v>0</v>
      </c>
      <c r="AS31" s="91">
        <v>0</v>
      </c>
      <c r="AT31" s="91">
        <v>0</v>
      </c>
      <c r="AU31" s="91">
        <v>0</v>
      </c>
      <c r="AV31" s="91">
        <v>0</v>
      </c>
      <c r="AW31" s="91">
        <v>0</v>
      </c>
      <c r="AX31" s="28">
        <f t="shared" ref="AX31" si="22">AR31+AS31+AT31+AU31+AW31</f>
        <v>0</v>
      </c>
      <c r="AY31" s="28">
        <f t="shared" ref="AY31" si="23">AQ31+AX31</f>
        <v>209737</v>
      </c>
      <c r="AZ31" s="19">
        <v>139668.39000000001</v>
      </c>
      <c r="BA31" s="19">
        <f t="shared" si="4"/>
        <v>11816.75</v>
      </c>
      <c r="BB31" s="181">
        <v>361.66</v>
      </c>
      <c r="BC31" s="181">
        <v>0</v>
      </c>
      <c r="BD31" s="181">
        <v>0</v>
      </c>
      <c r="BE31" s="181">
        <v>0</v>
      </c>
      <c r="BF31" s="181">
        <v>11455.09</v>
      </c>
      <c r="BG31" s="181">
        <v>0</v>
      </c>
      <c r="BH31" s="181">
        <v>0</v>
      </c>
      <c r="BI31" s="181">
        <v>0</v>
      </c>
      <c r="BJ31" s="181">
        <v>0</v>
      </c>
      <c r="BK31" s="181">
        <v>0</v>
      </c>
      <c r="BL31" s="181">
        <v>0</v>
      </c>
      <c r="BM31" s="181">
        <v>0</v>
      </c>
      <c r="BN31" s="37">
        <v>6</v>
      </c>
      <c r="BO31" s="19">
        <f t="shared" si="16"/>
        <v>151485.14000000001</v>
      </c>
      <c r="BP31" s="19">
        <f t="shared" ref="BP31" si="24">AY31-BO31</f>
        <v>58251.859999999986</v>
      </c>
      <c r="BQ31" s="29">
        <f t="shared" ref="BQ31" si="25">BO31/AY31</f>
        <v>0.72226235714251663</v>
      </c>
      <c r="BR31" s="133"/>
      <c r="BS31" s="134"/>
      <c r="BT31" s="34"/>
    </row>
    <row r="32" spans="1:74" ht="34" customHeight="1">
      <c r="A32" s="81"/>
      <c r="B32" s="82">
        <v>24</v>
      </c>
      <c r="C32" s="50" t="s">
        <v>148</v>
      </c>
      <c r="D32" s="21" t="s">
        <v>163</v>
      </c>
      <c r="E32" s="20" t="s">
        <v>164</v>
      </c>
      <c r="F32" s="33" t="s">
        <v>44</v>
      </c>
      <c r="G32" s="23" t="s">
        <v>158</v>
      </c>
      <c r="H32" s="23" t="s">
        <v>159</v>
      </c>
      <c r="I32" s="23" t="s">
        <v>47</v>
      </c>
      <c r="J32" s="23" t="s">
        <v>47</v>
      </c>
      <c r="K32" s="23" t="s">
        <v>47</v>
      </c>
      <c r="L32" s="22" t="s">
        <v>112</v>
      </c>
      <c r="M32" s="22">
        <v>46113</v>
      </c>
      <c r="N32" s="22">
        <v>46126</v>
      </c>
      <c r="O32" s="17"/>
      <c r="P32" s="31"/>
      <c r="Q32" s="106"/>
      <c r="R32" s="32"/>
      <c r="S32" s="17"/>
      <c r="T32" s="31"/>
      <c r="U32" s="17"/>
      <c r="V32" s="31"/>
      <c r="W32" s="30"/>
      <c r="X32" s="31"/>
      <c r="Y32" s="30"/>
      <c r="Z32" s="31"/>
      <c r="AA32" s="32"/>
      <c r="AB32" s="31"/>
      <c r="AC32" s="17"/>
      <c r="AD32" s="22">
        <v>45901</v>
      </c>
      <c r="AE32" s="18">
        <v>486</v>
      </c>
      <c r="AF32" s="18">
        <v>0</v>
      </c>
      <c r="AG32" s="18">
        <v>0</v>
      </c>
      <c r="AH32" s="18">
        <v>0</v>
      </c>
      <c r="AI32" s="18">
        <v>0</v>
      </c>
      <c r="AJ32" s="18">
        <v>0</v>
      </c>
      <c r="AK32" s="18">
        <v>0</v>
      </c>
      <c r="AL32" s="26">
        <f t="shared" ref="AL32" si="26">AF32+AG32+AH32+AI32+AK32</f>
        <v>0</v>
      </c>
      <c r="AM32" s="37">
        <v>0</v>
      </c>
      <c r="AN32" s="25">
        <f t="shared" ref="AN32" si="27">AD32+AE32+AL32</f>
        <v>46387</v>
      </c>
      <c r="AO32" s="27">
        <f t="shared" ca="1" si="12"/>
        <v>184</v>
      </c>
      <c r="AP32" s="165" t="s">
        <v>2</v>
      </c>
      <c r="AQ32" s="19">
        <v>165480</v>
      </c>
      <c r="AR32" s="91">
        <v>0</v>
      </c>
      <c r="AS32" s="91">
        <v>0</v>
      </c>
      <c r="AT32" s="91">
        <v>0</v>
      </c>
      <c r="AU32" s="91">
        <v>0</v>
      </c>
      <c r="AV32" s="91">
        <v>0</v>
      </c>
      <c r="AW32" s="91">
        <v>0</v>
      </c>
      <c r="AX32" s="28">
        <f t="shared" ref="AX32" si="28">AR32+AS32+AT32+AU32+AW32</f>
        <v>0</v>
      </c>
      <c r="AY32" s="28">
        <f t="shared" ref="AY32" si="29">AQ32+AX32</f>
        <v>165480</v>
      </c>
      <c r="AZ32" s="19">
        <v>0</v>
      </c>
      <c r="BA32" s="19">
        <f t="shared" si="4"/>
        <v>26014.26</v>
      </c>
      <c r="BB32" s="181">
        <v>0</v>
      </c>
      <c r="BC32" s="181">
        <v>26014.26</v>
      </c>
      <c r="BD32" s="181">
        <v>0</v>
      </c>
      <c r="BE32" s="181">
        <v>0</v>
      </c>
      <c r="BF32" s="181">
        <v>0</v>
      </c>
      <c r="BG32" s="181">
        <v>0</v>
      </c>
      <c r="BH32" s="181">
        <v>0</v>
      </c>
      <c r="BI32" s="181">
        <v>0</v>
      </c>
      <c r="BJ32" s="181">
        <v>0</v>
      </c>
      <c r="BK32" s="181">
        <v>0</v>
      </c>
      <c r="BL32" s="181">
        <v>0</v>
      </c>
      <c r="BM32" s="181">
        <v>0</v>
      </c>
      <c r="BN32" s="37">
        <v>1</v>
      </c>
      <c r="BO32" s="19">
        <f t="shared" si="16"/>
        <v>26014.26</v>
      </c>
      <c r="BP32" s="19">
        <f t="shared" ref="BP32" si="30">AY32-BO32</f>
        <v>139465.74</v>
      </c>
      <c r="BQ32" s="29">
        <f t="shared" ref="BQ32" si="31">BO32/AY32</f>
        <v>0.15720485859318345</v>
      </c>
      <c r="BR32" s="133"/>
      <c r="BS32" s="134"/>
      <c r="BT32" s="34"/>
    </row>
    <row r="33" spans="1:214" ht="34" customHeight="1">
      <c r="A33" s="81"/>
      <c r="B33" s="82">
        <v>25</v>
      </c>
      <c r="C33" s="50" t="s">
        <v>165</v>
      </c>
      <c r="D33" s="21" t="s">
        <v>166</v>
      </c>
      <c r="E33" s="20" t="s">
        <v>167</v>
      </c>
      <c r="F33" s="33" t="s">
        <v>44</v>
      </c>
      <c r="G33" s="23" t="s">
        <v>45</v>
      </c>
      <c r="H33" s="23" t="s">
        <v>136</v>
      </c>
      <c r="I33" s="23" t="s">
        <v>47</v>
      </c>
      <c r="J33" s="23" t="s">
        <v>48</v>
      </c>
      <c r="K33" s="23" t="s">
        <v>2</v>
      </c>
      <c r="L33" s="17"/>
      <c r="M33" s="32"/>
      <c r="N33" s="30"/>
      <c r="O33" s="17"/>
      <c r="P33" s="31"/>
      <c r="Q33" s="30"/>
      <c r="R33" s="31"/>
      <c r="S33" s="17"/>
      <c r="T33" s="31"/>
      <c r="U33" s="17"/>
      <c r="V33" s="31"/>
      <c r="W33" s="30"/>
      <c r="X33" s="31"/>
      <c r="Y33" s="30"/>
      <c r="Z33" s="31"/>
      <c r="AA33" s="32"/>
      <c r="AB33" s="31"/>
      <c r="AC33" s="17"/>
      <c r="AD33" s="22">
        <v>45441</v>
      </c>
      <c r="AE33" s="18">
        <v>730</v>
      </c>
      <c r="AF33" s="98">
        <v>0</v>
      </c>
      <c r="AG33" s="98">
        <v>241</v>
      </c>
      <c r="AH33" s="18">
        <v>0</v>
      </c>
      <c r="AI33" s="18">
        <v>0</v>
      </c>
      <c r="AJ33" s="18">
        <v>0</v>
      </c>
      <c r="AK33" s="18">
        <v>0</v>
      </c>
      <c r="AL33" s="26">
        <f t="shared" ref="AL33:AL48" si="32">AF33+AG33+AH33+AI33+AK33</f>
        <v>241</v>
      </c>
      <c r="AM33" s="37">
        <v>2</v>
      </c>
      <c r="AN33" s="25">
        <f t="shared" ref="AN33:AN48" si="33">AD33+AE33+AL33</f>
        <v>46412</v>
      </c>
      <c r="AO33" s="27">
        <f t="shared" ca="1" si="12"/>
        <v>209</v>
      </c>
      <c r="AP33" s="165" t="s">
        <v>261</v>
      </c>
      <c r="AQ33" s="19">
        <v>1000000</v>
      </c>
      <c r="AR33" s="100">
        <v>500000</v>
      </c>
      <c r="AS33" s="100">
        <v>1400000</v>
      </c>
      <c r="AT33" s="91">
        <v>0</v>
      </c>
      <c r="AU33" s="91">
        <v>0</v>
      </c>
      <c r="AV33" s="91">
        <v>0</v>
      </c>
      <c r="AW33" s="91">
        <v>0</v>
      </c>
      <c r="AX33" s="28">
        <f t="shared" ref="AX33" si="34">AR33+AS33+AT33+AU33+AW33</f>
        <v>1900000</v>
      </c>
      <c r="AY33" s="28">
        <f t="shared" ref="AY33" si="35">AQ33+AX33</f>
        <v>2900000</v>
      </c>
      <c r="AZ33" s="19">
        <v>905703.51</v>
      </c>
      <c r="BA33" s="19">
        <f t="shared" ref="BA33" si="36">SUM(BB33:BM33)</f>
        <v>288795</v>
      </c>
      <c r="BB33" s="181">
        <v>0</v>
      </c>
      <c r="BC33" s="181">
        <v>288795</v>
      </c>
      <c r="BD33" s="181">
        <v>0</v>
      </c>
      <c r="BE33" s="181">
        <v>0</v>
      </c>
      <c r="BF33" s="181">
        <v>0</v>
      </c>
      <c r="BG33" s="181">
        <v>0</v>
      </c>
      <c r="BH33" s="181">
        <v>0</v>
      </c>
      <c r="BI33" s="181">
        <v>0</v>
      </c>
      <c r="BJ33" s="181">
        <v>0</v>
      </c>
      <c r="BK33" s="181">
        <v>0</v>
      </c>
      <c r="BL33" s="181">
        <v>0</v>
      </c>
      <c r="BM33" s="181">
        <v>0</v>
      </c>
      <c r="BN33" s="37">
        <v>3</v>
      </c>
      <c r="BO33" s="19">
        <f t="shared" ref="BO33" si="37">AZ33+BA33</f>
        <v>1194498.51</v>
      </c>
      <c r="BP33" s="19">
        <f t="shared" ref="BP33" si="38">AY33-BO33</f>
        <v>1705501.49</v>
      </c>
      <c r="BQ33" s="29">
        <f>BO33/AY33</f>
        <v>0.41189603793103446</v>
      </c>
      <c r="BR33" s="15"/>
      <c r="BS33" s="94"/>
      <c r="BT33" s="34"/>
    </row>
    <row r="34" spans="1:214" ht="34" customHeight="1">
      <c r="A34" s="81"/>
      <c r="B34" s="82">
        <v>26</v>
      </c>
      <c r="C34" s="50" t="s">
        <v>168</v>
      </c>
      <c r="D34" s="21" t="s">
        <v>169</v>
      </c>
      <c r="E34" s="20" t="s">
        <v>170</v>
      </c>
      <c r="F34" s="23" t="s">
        <v>54</v>
      </c>
      <c r="G34" s="23" t="s">
        <v>55</v>
      </c>
      <c r="H34" s="23" t="s">
        <v>56</v>
      </c>
      <c r="I34" s="23" t="s">
        <v>47</v>
      </c>
      <c r="J34" s="23" t="s">
        <v>57</v>
      </c>
      <c r="K34" s="23" t="s">
        <v>171</v>
      </c>
      <c r="L34" s="22">
        <v>45734</v>
      </c>
      <c r="M34" s="22">
        <v>45737</v>
      </c>
      <c r="N34" s="22">
        <v>45754</v>
      </c>
      <c r="O34" s="22">
        <v>45838</v>
      </c>
      <c r="P34" s="22">
        <v>45845</v>
      </c>
      <c r="Q34" s="22">
        <v>45898</v>
      </c>
      <c r="R34" s="22" t="s">
        <v>75</v>
      </c>
      <c r="S34" s="22">
        <v>46045</v>
      </c>
      <c r="T34" s="22">
        <v>46058</v>
      </c>
      <c r="U34" s="17"/>
      <c r="V34" s="31"/>
      <c r="W34" s="30"/>
      <c r="X34" s="31"/>
      <c r="Y34" s="30"/>
      <c r="Z34" s="31"/>
      <c r="AA34" s="32"/>
      <c r="AB34" s="31"/>
      <c r="AC34" s="17"/>
      <c r="AD34" s="22">
        <v>45184</v>
      </c>
      <c r="AE34" s="18">
        <v>300</v>
      </c>
      <c r="AF34" s="98">
        <v>383</v>
      </c>
      <c r="AG34" s="98">
        <v>185</v>
      </c>
      <c r="AH34" s="98">
        <v>365</v>
      </c>
      <c r="AI34" s="18">
        <v>0</v>
      </c>
      <c r="AJ34" s="18">
        <v>0</v>
      </c>
      <c r="AK34" s="18">
        <v>0</v>
      </c>
      <c r="AL34" s="26">
        <f t="shared" si="32"/>
        <v>933</v>
      </c>
      <c r="AM34" s="37">
        <v>3</v>
      </c>
      <c r="AN34" s="25">
        <f t="shared" si="33"/>
        <v>46417</v>
      </c>
      <c r="AO34" s="27">
        <f t="shared" ca="1" si="12"/>
        <v>214</v>
      </c>
      <c r="AP34" s="165"/>
      <c r="AQ34" s="19">
        <v>379940</v>
      </c>
      <c r="AR34" s="100">
        <v>0</v>
      </c>
      <c r="AS34" s="100">
        <v>0</v>
      </c>
      <c r="AT34" s="100">
        <v>0</v>
      </c>
      <c r="AU34" s="91">
        <v>0</v>
      </c>
      <c r="AV34" s="91">
        <v>0</v>
      </c>
      <c r="AW34" s="91">
        <v>0</v>
      </c>
      <c r="AX34" s="28">
        <f>AR34+AS34+AT34+AU34+AW34</f>
        <v>0</v>
      </c>
      <c r="AY34" s="28">
        <f>AQ34+AX34</f>
        <v>379940</v>
      </c>
      <c r="AZ34" s="19">
        <v>348544</v>
      </c>
      <c r="BA34" s="19">
        <f t="shared" ref="BA34:BA44" si="39">SUM(BB34:BM34)</f>
        <v>0</v>
      </c>
      <c r="BB34" s="181">
        <v>0</v>
      </c>
      <c r="BC34" s="181">
        <v>0</v>
      </c>
      <c r="BD34" s="181">
        <v>0</v>
      </c>
      <c r="BE34" s="181">
        <v>0</v>
      </c>
      <c r="BF34" s="181">
        <v>0</v>
      </c>
      <c r="BG34" s="181">
        <v>0</v>
      </c>
      <c r="BH34" s="181">
        <v>0</v>
      </c>
      <c r="BI34" s="181">
        <v>0</v>
      </c>
      <c r="BJ34" s="181">
        <v>0</v>
      </c>
      <c r="BK34" s="181">
        <v>0</v>
      </c>
      <c r="BL34" s="181">
        <v>0</v>
      </c>
      <c r="BM34" s="181">
        <v>0</v>
      </c>
      <c r="BN34" s="37">
        <v>9</v>
      </c>
      <c r="BO34" s="19">
        <f t="shared" ref="BO34:BO48" si="40">AZ34+BA34</f>
        <v>348544</v>
      </c>
      <c r="BP34" s="19">
        <f>AY34-BO34</f>
        <v>31396</v>
      </c>
      <c r="BQ34" s="29">
        <f>BO34/AY34</f>
        <v>0.91736589987892825</v>
      </c>
      <c r="BR34" s="15"/>
      <c r="BS34" s="94"/>
      <c r="BT34" s="34"/>
    </row>
    <row r="35" spans="1:214" ht="34" customHeight="1">
      <c r="A35" s="81"/>
      <c r="B35" s="82">
        <v>27</v>
      </c>
      <c r="C35" s="83" t="s">
        <v>172</v>
      </c>
      <c r="D35" s="21" t="s">
        <v>173</v>
      </c>
      <c r="E35" s="20" t="s">
        <v>174</v>
      </c>
      <c r="F35" s="33" t="s">
        <v>44</v>
      </c>
      <c r="G35" s="23" t="s">
        <v>45</v>
      </c>
      <c r="H35" s="23" t="s">
        <v>175</v>
      </c>
      <c r="I35" s="23" t="s">
        <v>47</v>
      </c>
      <c r="J35" s="23" t="s">
        <v>47</v>
      </c>
      <c r="K35" s="23" t="s">
        <v>47</v>
      </c>
      <c r="L35" s="17"/>
      <c r="M35" s="17"/>
      <c r="N35" s="31"/>
      <c r="O35" s="17"/>
      <c r="P35" s="31"/>
      <c r="Q35" s="30"/>
      <c r="R35" s="31"/>
      <c r="S35" s="32"/>
      <c r="T35" s="30"/>
      <c r="U35" s="17"/>
      <c r="V35" s="31"/>
      <c r="W35" s="30"/>
      <c r="X35" s="31"/>
      <c r="Y35" s="30"/>
      <c r="Z35" s="31"/>
      <c r="AA35" s="32"/>
      <c r="AB35" s="31"/>
      <c r="AC35" s="17"/>
      <c r="AD35" s="22">
        <v>44915</v>
      </c>
      <c r="AE35" s="18">
        <v>1158</v>
      </c>
      <c r="AF35" s="98">
        <v>0</v>
      </c>
      <c r="AG35" s="98">
        <v>365</v>
      </c>
      <c r="AH35" s="18">
        <v>0</v>
      </c>
      <c r="AI35" s="18">
        <v>0</v>
      </c>
      <c r="AJ35" s="18">
        <v>0</v>
      </c>
      <c r="AK35" s="18">
        <v>0</v>
      </c>
      <c r="AL35" s="26">
        <f t="shared" si="32"/>
        <v>365</v>
      </c>
      <c r="AM35" s="37">
        <v>2</v>
      </c>
      <c r="AN35" s="25">
        <f t="shared" si="33"/>
        <v>46438</v>
      </c>
      <c r="AO35" s="27">
        <f t="shared" ca="1" si="12"/>
        <v>235</v>
      </c>
      <c r="AP35" s="165" t="s">
        <v>176</v>
      </c>
      <c r="AQ35" s="19">
        <v>2063992</v>
      </c>
      <c r="AR35" s="100">
        <v>0</v>
      </c>
      <c r="AS35" s="100">
        <v>0</v>
      </c>
      <c r="AT35" s="91">
        <v>0</v>
      </c>
      <c r="AU35" s="91">
        <v>0</v>
      </c>
      <c r="AV35" s="91">
        <v>0</v>
      </c>
      <c r="AW35" s="91">
        <v>0</v>
      </c>
      <c r="AX35" s="28">
        <f>AR35+AS35+AT35+AU35+AW35</f>
        <v>0</v>
      </c>
      <c r="AY35" s="28">
        <f>AQ35+AX35</f>
        <v>2063992</v>
      </c>
      <c r="AZ35" s="19">
        <v>1832248</v>
      </c>
      <c r="BA35" s="19">
        <f t="shared" si="39"/>
        <v>0</v>
      </c>
      <c r="BB35" s="181">
        <v>0</v>
      </c>
      <c r="BC35" s="181">
        <v>0</v>
      </c>
      <c r="BD35" s="181">
        <v>0</v>
      </c>
      <c r="BE35" s="181">
        <v>0</v>
      </c>
      <c r="BF35" s="181">
        <v>0</v>
      </c>
      <c r="BG35" s="181">
        <v>0</v>
      </c>
      <c r="BH35" s="181">
        <v>0</v>
      </c>
      <c r="BI35" s="181">
        <v>0</v>
      </c>
      <c r="BJ35" s="181">
        <v>0</v>
      </c>
      <c r="BK35" s="181">
        <v>0</v>
      </c>
      <c r="BL35" s="181">
        <v>0</v>
      </c>
      <c r="BM35" s="181">
        <v>0</v>
      </c>
      <c r="BN35" s="37">
        <v>34</v>
      </c>
      <c r="BO35" s="19">
        <f t="shared" si="40"/>
        <v>1832248</v>
      </c>
      <c r="BP35" s="19">
        <f>AY35-BO35</f>
        <v>231744</v>
      </c>
      <c r="BQ35" s="29">
        <f t="shared" ref="BQ35" si="41">BO35/AY35</f>
        <v>0.8877204950406784</v>
      </c>
      <c r="BR35" s="15"/>
      <c r="BS35" s="94"/>
      <c r="BT35" s="34"/>
    </row>
    <row r="36" spans="1:214" ht="34" customHeight="1">
      <c r="A36" s="81"/>
      <c r="B36" s="82">
        <v>28</v>
      </c>
      <c r="C36" s="50" t="s">
        <v>58</v>
      </c>
      <c r="D36" s="21" t="s">
        <v>59</v>
      </c>
      <c r="E36" s="20" t="s">
        <v>60</v>
      </c>
      <c r="F36" s="23" t="s">
        <v>54</v>
      </c>
      <c r="G36" s="23" t="s">
        <v>55</v>
      </c>
      <c r="H36" s="23" t="s">
        <v>56</v>
      </c>
      <c r="I36" s="23" t="s">
        <v>61</v>
      </c>
      <c r="J36" s="23" t="s">
        <v>57</v>
      </c>
      <c r="K36" s="23" t="s">
        <v>61</v>
      </c>
      <c r="L36" s="22">
        <v>45699</v>
      </c>
      <c r="M36" s="22">
        <v>45704</v>
      </c>
      <c r="N36" s="22">
        <v>45722</v>
      </c>
      <c r="O36" s="22">
        <v>45793</v>
      </c>
      <c r="P36" s="22">
        <v>45811</v>
      </c>
      <c r="Q36" s="22">
        <v>45819</v>
      </c>
      <c r="R36" s="22">
        <v>45860</v>
      </c>
      <c r="S36" s="22">
        <v>45866</v>
      </c>
      <c r="T36" s="22">
        <v>45889</v>
      </c>
      <c r="U36" s="22">
        <v>46153</v>
      </c>
      <c r="V36" s="22" t="s">
        <v>47</v>
      </c>
      <c r="W36" s="22">
        <v>46183</v>
      </c>
      <c r="X36" s="31"/>
      <c r="Y36" s="30"/>
      <c r="Z36" s="31"/>
      <c r="AA36" s="32"/>
      <c r="AB36" s="31"/>
      <c r="AC36" s="17"/>
      <c r="AD36" s="22">
        <v>45198</v>
      </c>
      <c r="AE36" s="18">
        <v>500</v>
      </c>
      <c r="AF36" s="98">
        <v>414</v>
      </c>
      <c r="AG36" s="98">
        <v>0</v>
      </c>
      <c r="AH36" s="98">
        <v>0</v>
      </c>
      <c r="AI36" s="98">
        <v>395</v>
      </c>
      <c r="AJ36" s="18">
        <v>0</v>
      </c>
      <c r="AK36" s="18">
        <v>0</v>
      </c>
      <c r="AL36" s="26">
        <f>AF36+AG36+AH36+AI36+AK36</f>
        <v>809</v>
      </c>
      <c r="AM36" s="37">
        <v>4</v>
      </c>
      <c r="AN36" s="25">
        <f>AD36+AE36+AL36</f>
        <v>46507</v>
      </c>
      <c r="AO36" s="27">
        <f ca="1">AN36-$AN$1</f>
        <v>304</v>
      </c>
      <c r="AP36" s="166" t="s">
        <v>272</v>
      </c>
      <c r="AQ36" s="19">
        <v>1032512.76</v>
      </c>
      <c r="AR36" s="100">
        <v>474246.26</v>
      </c>
      <c r="AS36" s="100">
        <v>322642.40000000002</v>
      </c>
      <c r="AT36" s="100">
        <v>43992.36</v>
      </c>
      <c r="AU36" s="100">
        <v>874202.93</v>
      </c>
      <c r="AV36" s="91">
        <v>0</v>
      </c>
      <c r="AW36" s="91">
        <v>0</v>
      </c>
      <c r="AX36" s="28">
        <f>AR36+AS36+AT36+AU36+AW36</f>
        <v>1715083.9500000002</v>
      </c>
      <c r="AY36" s="28">
        <f>AQ36+AX36</f>
        <v>2747596.71</v>
      </c>
      <c r="AZ36" s="19">
        <v>1527874.28</v>
      </c>
      <c r="BA36" s="19">
        <f>SUM(BB36:BM36)</f>
        <v>171137.72</v>
      </c>
      <c r="BB36" s="181">
        <v>27149.38</v>
      </c>
      <c r="BC36" s="181">
        <v>45248.959999999999</v>
      </c>
      <c r="BD36" s="181">
        <v>49400.03</v>
      </c>
      <c r="BE36" s="182">
        <v>49339.35</v>
      </c>
      <c r="BF36" s="181">
        <v>0</v>
      </c>
      <c r="BG36" s="181">
        <v>0</v>
      </c>
      <c r="BH36" s="181">
        <v>0</v>
      </c>
      <c r="BI36" s="181">
        <v>0</v>
      </c>
      <c r="BJ36" s="181">
        <v>0</v>
      </c>
      <c r="BK36" s="181">
        <v>0</v>
      </c>
      <c r="BL36" s="181">
        <v>0</v>
      </c>
      <c r="BM36" s="181">
        <v>0</v>
      </c>
      <c r="BN36" s="37">
        <v>29</v>
      </c>
      <c r="BO36" s="19">
        <f>AZ36+BA36</f>
        <v>1699012</v>
      </c>
      <c r="BP36" s="19">
        <f>AY36-BO36</f>
        <v>1048584.71</v>
      </c>
      <c r="BQ36" s="29">
        <f>BO36/AY36</f>
        <v>0.61836294745017362</v>
      </c>
      <c r="BR36" s="15"/>
      <c r="BS36" s="94"/>
      <c r="HF36" s="2" t="s">
        <v>2</v>
      </c>
    </row>
    <row r="37" spans="1:214" ht="34" customHeight="1">
      <c r="A37" s="81"/>
      <c r="B37" s="82">
        <v>29</v>
      </c>
      <c r="C37" s="50" t="s">
        <v>109</v>
      </c>
      <c r="D37" s="21" t="s">
        <v>110</v>
      </c>
      <c r="E37" s="20" t="s">
        <v>111</v>
      </c>
      <c r="F37" s="33" t="s">
        <v>44</v>
      </c>
      <c r="G37" s="23" t="s">
        <v>45</v>
      </c>
      <c r="H37" s="23" t="s">
        <v>49</v>
      </c>
      <c r="I37" s="23" t="s">
        <v>47</v>
      </c>
      <c r="J37" s="23" t="s">
        <v>48</v>
      </c>
      <c r="K37" s="23" t="s">
        <v>47</v>
      </c>
      <c r="L37" s="22" t="s">
        <v>112</v>
      </c>
      <c r="M37" s="22">
        <v>46051</v>
      </c>
      <c r="N37" s="22">
        <v>46099</v>
      </c>
      <c r="O37" s="17"/>
      <c r="P37" s="31"/>
      <c r="Q37" s="17"/>
      <c r="R37" s="31"/>
      <c r="S37" s="17"/>
      <c r="T37" s="31"/>
      <c r="U37" s="17"/>
      <c r="V37" s="31"/>
      <c r="W37" s="30"/>
      <c r="X37" s="31"/>
      <c r="Y37" s="30"/>
      <c r="Z37" s="31"/>
      <c r="AA37" s="32"/>
      <c r="AB37" s="31"/>
      <c r="AC37" s="17"/>
      <c r="AD37" s="22">
        <v>45889</v>
      </c>
      <c r="AE37" s="18">
        <v>728</v>
      </c>
      <c r="AF37" s="98">
        <v>0</v>
      </c>
      <c r="AG37" s="18">
        <v>0</v>
      </c>
      <c r="AH37" s="18">
        <v>0</v>
      </c>
      <c r="AI37" s="18">
        <v>0</v>
      </c>
      <c r="AJ37" s="18">
        <v>0</v>
      </c>
      <c r="AK37" s="18">
        <v>0</v>
      </c>
      <c r="AL37" s="26">
        <f>AF37+AG37+AH37+AI37+AK37</f>
        <v>0</v>
      </c>
      <c r="AM37" s="37">
        <v>1</v>
      </c>
      <c r="AN37" s="25">
        <f>AD37+AE37+AL37</f>
        <v>46617</v>
      </c>
      <c r="AO37" s="27">
        <f t="shared" ca="1" si="12"/>
        <v>414</v>
      </c>
      <c r="AP37" s="165" t="s">
        <v>2</v>
      </c>
      <c r="AQ37" s="19">
        <v>5784721.54</v>
      </c>
      <c r="AR37" s="100">
        <v>0</v>
      </c>
      <c r="AS37" s="91">
        <v>0</v>
      </c>
      <c r="AT37" s="91">
        <v>0</v>
      </c>
      <c r="AU37" s="91">
        <v>0</v>
      </c>
      <c r="AV37" s="91">
        <v>0</v>
      </c>
      <c r="AW37" s="91">
        <v>0</v>
      </c>
      <c r="AX37" s="28">
        <f t="shared" ref="AX37" si="42">AR37+AS37+AT37+AU37+AW37</f>
        <v>0</v>
      </c>
      <c r="AY37" s="28">
        <f t="shared" ref="AY37" si="43">AQ37+AX37</f>
        <v>5784721.54</v>
      </c>
      <c r="AZ37" s="19">
        <v>1352636.45</v>
      </c>
      <c r="BA37" s="19">
        <f>SUM(BB37:BM37)</f>
        <v>1611438.02</v>
      </c>
      <c r="BB37" s="181">
        <v>337825.16</v>
      </c>
      <c r="BC37" s="181">
        <v>291812.12</v>
      </c>
      <c r="BD37" s="181">
        <v>319539.26</v>
      </c>
      <c r="BE37" s="181">
        <v>337601.36</v>
      </c>
      <c r="BF37" s="181">
        <v>324660.12</v>
      </c>
      <c r="BG37" s="181">
        <v>0</v>
      </c>
      <c r="BH37" s="181">
        <v>0</v>
      </c>
      <c r="BI37" s="181">
        <v>0</v>
      </c>
      <c r="BJ37" s="181">
        <v>0</v>
      </c>
      <c r="BK37" s="181">
        <v>0</v>
      </c>
      <c r="BL37" s="181">
        <v>0</v>
      </c>
      <c r="BM37" s="181">
        <v>0</v>
      </c>
      <c r="BN37" s="37">
        <v>8</v>
      </c>
      <c r="BO37" s="19">
        <f>AZ37+BA37</f>
        <v>2964074.4699999997</v>
      </c>
      <c r="BP37" s="19">
        <f t="shared" ref="BP37" si="44">AY37-BO37</f>
        <v>2820647.0700000003</v>
      </c>
      <c r="BQ37" s="29">
        <f>BO37/AY37</f>
        <v>0.51239708765653047</v>
      </c>
      <c r="BR37" s="15"/>
      <c r="BS37" s="94"/>
    </row>
    <row r="38" spans="1:214" ht="34" customHeight="1">
      <c r="A38" s="81"/>
      <c r="B38" s="82">
        <v>30</v>
      </c>
      <c r="C38" s="83" t="s">
        <v>177</v>
      </c>
      <c r="D38" s="21" t="s">
        <v>178</v>
      </c>
      <c r="E38" s="20" t="s">
        <v>179</v>
      </c>
      <c r="F38" s="33" t="s">
        <v>44</v>
      </c>
      <c r="G38" s="23" t="s">
        <v>45</v>
      </c>
      <c r="H38" s="23" t="s">
        <v>180</v>
      </c>
      <c r="I38" s="23" t="s">
        <v>47</v>
      </c>
      <c r="J38" s="23" t="s">
        <v>48</v>
      </c>
      <c r="K38" s="23" t="s">
        <v>47</v>
      </c>
      <c r="L38" s="17"/>
      <c r="M38" s="17"/>
      <c r="N38" s="31"/>
      <c r="O38" s="17"/>
      <c r="P38" s="31"/>
      <c r="Q38" s="30"/>
      <c r="R38" s="31"/>
      <c r="S38" s="32"/>
      <c r="T38" s="30"/>
      <c r="U38" s="31"/>
      <c r="V38" s="31"/>
      <c r="W38" s="30"/>
      <c r="X38" s="31"/>
      <c r="Y38" s="30"/>
      <c r="Z38" s="31"/>
      <c r="AA38" s="32"/>
      <c r="AB38" s="31"/>
      <c r="AC38" s="17"/>
      <c r="AD38" s="22">
        <v>45902</v>
      </c>
      <c r="AE38" s="18">
        <v>729</v>
      </c>
      <c r="AF38" s="18">
        <v>0</v>
      </c>
      <c r="AG38" s="18">
        <v>0</v>
      </c>
      <c r="AH38" s="18">
        <v>0</v>
      </c>
      <c r="AI38" s="18">
        <v>0</v>
      </c>
      <c r="AJ38" s="18">
        <v>0</v>
      </c>
      <c r="AK38" s="18">
        <v>0</v>
      </c>
      <c r="AL38" s="26">
        <f t="shared" si="32"/>
        <v>0</v>
      </c>
      <c r="AM38" s="37">
        <v>0</v>
      </c>
      <c r="AN38" s="25">
        <f t="shared" si="33"/>
        <v>46631</v>
      </c>
      <c r="AO38" s="27">
        <f t="shared" ca="1" si="12"/>
        <v>428</v>
      </c>
      <c r="AP38" s="165" t="s">
        <v>2</v>
      </c>
      <c r="AQ38" s="19">
        <v>4887368.6399999997</v>
      </c>
      <c r="AR38" s="91">
        <v>0</v>
      </c>
      <c r="AS38" s="91">
        <v>0</v>
      </c>
      <c r="AT38" s="91">
        <v>0</v>
      </c>
      <c r="AU38" s="91">
        <v>0</v>
      </c>
      <c r="AV38" s="91">
        <v>0</v>
      </c>
      <c r="AW38" s="91">
        <v>0</v>
      </c>
      <c r="AX38" s="28">
        <f t="shared" ref="AX38" si="45">AR38+AS38+AT38+AU38+AW38</f>
        <v>0</v>
      </c>
      <c r="AY38" s="28">
        <f t="shared" ref="AY38" si="46">AQ38+AX38</f>
        <v>4887368.6399999997</v>
      </c>
      <c r="AZ38" s="19">
        <v>145948.12</v>
      </c>
      <c r="BA38" s="19">
        <f t="shared" si="39"/>
        <v>521064.13</v>
      </c>
      <c r="BB38" s="181">
        <v>115118.51</v>
      </c>
      <c r="BC38" s="181">
        <v>98350.89</v>
      </c>
      <c r="BD38" s="181">
        <v>108870.81</v>
      </c>
      <c r="BE38" s="181">
        <v>89995.03</v>
      </c>
      <c r="BF38" s="181">
        <f>99631.25+9097.64</f>
        <v>108728.89</v>
      </c>
      <c r="BG38" s="181">
        <v>0</v>
      </c>
      <c r="BH38" s="181">
        <v>0</v>
      </c>
      <c r="BI38" s="181">
        <v>0</v>
      </c>
      <c r="BJ38" s="181">
        <v>0</v>
      </c>
      <c r="BK38" s="181">
        <v>0</v>
      </c>
      <c r="BL38" s="181">
        <v>0</v>
      </c>
      <c r="BM38" s="181">
        <v>0</v>
      </c>
      <c r="BN38" s="37">
        <v>8</v>
      </c>
      <c r="BO38" s="19">
        <f t="shared" si="40"/>
        <v>667012.25</v>
      </c>
      <c r="BP38" s="19">
        <f t="shared" ref="BP38" si="47">AY38-BO38</f>
        <v>4220356.3899999997</v>
      </c>
      <c r="BQ38" s="29">
        <f t="shared" ref="BQ38:BQ48" si="48">BO38/AY38</f>
        <v>0.13647676267775866</v>
      </c>
      <c r="BR38" s="15"/>
      <c r="BS38" s="94"/>
      <c r="BT38" s="34" t="s">
        <v>2</v>
      </c>
    </row>
    <row r="39" spans="1:214" ht="34" customHeight="1">
      <c r="A39" s="81"/>
      <c r="B39" s="82">
        <v>31</v>
      </c>
      <c r="C39" s="50" t="s">
        <v>181</v>
      </c>
      <c r="D39" s="21" t="s">
        <v>182</v>
      </c>
      <c r="E39" s="20" t="s">
        <v>183</v>
      </c>
      <c r="F39" s="23" t="s">
        <v>54</v>
      </c>
      <c r="G39" s="23" t="s">
        <v>55</v>
      </c>
      <c r="H39" s="23" t="s">
        <v>56</v>
      </c>
      <c r="I39" s="23" t="s">
        <v>47</v>
      </c>
      <c r="J39" s="23" t="s">
        <v>57</v>
      </c>
      <c r="K39" s="23" t="s">
        <v>56</v>
      </c>
      <c r="L39" s="22" t="s">
        <v>47</v>
      </c>
      <c r="M39" s="22" t="s">
        <v>47</v>
      </c>
      <c r="N39" s="22">
        <v>45558</v>
      </c>
      <c r="O39" s="22">
        <v>45834</v>
      </c>
      <c r="P39" s="22">
        <v>45891</v>
      </c>
      <c r="Q39" s="22">
        <v>45910</v>
      </c>
      <c r="R39" s="22" t="s">
        <v>75</v>
      </c>
      <c r="S39" s="22">
        <v>46034</v>
      </c>
      <c r="T39" s="22">
        <v>46038</v>
      </c>
      <c r="U39" s="17"/>
      <c r="V39" s="31"/>
      <c r="W39" s="30"/>
      <c r="X39" s="31"/>
      <c r="Y39" s="30"/>
      <c r="Z39" s="31"/>
      <c r="AA39" s="32"/>
      <c r="AB39" s="31"/>
      <c r="AC39" s="17"/>
      <c r="AD39" s="22">
        <v>45260</v>
      </c>
      <c r="AE39" s="18">
        <v>600</v>
      </c>
      <c r="AF39" s="98">
        <v>129</v>
      </c>
      <c r="AG39" s="98">
        <v>0</v>
      </c>
      <c r="AH39" s="98">
        <v>730</v>
      </c>
      <c r="AI39" s="18">
        <v>0</v>
      </c>
      <c r="AJ39" s="18">
        <v>0</v>
      </c>
      <c r="AK39" s="18">
        <v>0</v>
      </c>
      <c r="AL39" s="26">
        <f t="shared" si="32"/>
        <v>859</v>
      </c>
      <c r="AM39" s="37">
        <v>3</v>
      </c>
      <c r="AN39" s="25">
        <f t="shared" si="33"/>
        <v>46719</v>
      </c>
      <c r="AO39" s="27">
        <f t="shared" ca="1" si="12"/>
        <v>516</v>
      </c>
      <c r="AP39" s="165" t="s">
        <v>2</v>
      </c>
      <c r="AQ39" s="19">
        <v>10797080</v>
      </c>
      <c r="AR39" s="100">
        <v>0</v>
      </c>
      <c r="AS39" s="100">
        <v>438782.71999999997</v>
      </c>
      <c r="AT39" s="100">
        <v>0</v>
      </c>
      <c r="AU39" s="91">
        <v>0</v>
      </c>
      <c r="AV39" s="91">
        <v>0</v>
      </c>
      <c r="AW39" s="91">
        <v>0</v>
      </c>
      <c r="AX39" s="28">
        <f t="shared" ref="AX39:AX44" si="49">AR39+AS39+AT39+AU39+AW39</f>
        <v>438782.71999999997</v>
      </c>
      <c r="AY39" s="28">
        <f t="shared" ref="AY39:AY44" si="50">AQ39+AX39</f>
        <v>11235862.720000001</v>
      </c>
      <c r="AZ39" s="19">
        <v>1680355.71</v>
      </c>
      <c r="BA39" s="19">
        <f t="shared" si="39"/>
        <v>0</v>
      </c>
      <c r="BB39" s="181">
        <v>0</v>
      </c>
      <c r="BC39" s="181">
        <v>0</v>
      </c>
      <c r="BD39" s="181">
        <v>0</v>
      </c>
      <c r="BE39" s="181">
        <v>0</v>
      </c>
      <c r="BF39" s="181">
        <v>0</v>
      </c>
      <c r="BG39" s="181">
        <v>0</v>
      </c>
      <c r="BH39" s="181">
        <v>0</v>
      </c>
      <c r="BI39" s="181">
        <v>0</v>
      </c>
      <c r="BJ39" s="181">
        <v>0</v>
      </c>
      <c r="BK39" s="181">
        <v>0</v>
      </c>
      <c r="BL39" s="181">
        <v>0</v>
      </c>
      <c r="BM39" s="181">
        <v>0</v>
      </c>
      <c r="BN39" s="37">
        <v>12</v>
      </c>
      <c r="BO39" s="19">
        <f t="shared" si="40"/>
        <v>1680355.71</v>
      </c>
      <c r="BP39" s="19">
        <f t="shared" ref="BP39:BP44" si="51">AY39-BO39</f>
        <v>9555507.0100000016</v>
      </c>
      <c r="BQ39" s="29">
        <f t="shared" si="48"/>
        <v>0.1495528872036628</v>
      </c>
      <c r="BR39" s="15"/>
      <c r="BS39" s="94"/>
      <c r="BT39" s="34" t="s">
        <v>2</v>
      </c>
    </row>
    <row r="40" spans="1:214" ht="34" customHeight="1">
      <c r="A40" s="81"/>
      <c r="B40" s="82">
        <v>32</v>
      </c>
      <c r="C40" s="50" t="s">
        <v>184</v>
      </c>
      <c r="D40" s="21" t="s">
        <v>185</v>
      </c>
      <c r="E40" s="20" t="s">
        <v>186</v>
      </c>
      <c r="F40" s="23" t="s">
        <v>54</v>
      </c>
      <c r="G40" s="23" t="s">
        <v>86</v>
      </c>
      <c r="H40" s="23" t="s">
        <v>87</v>
      </c>
      <c r="I40" s="23" t="s">
        <v>47</v>
      </c>
      <c r="J40" s="23" t="s">
        <v>88</v>
      </c>
      <c r="K40" s="23" t="s">
        <v>47</v>
      </c>
      <c r="L40" s="17"/>
      <c r="M40" s="32"/>
      <c r="N40" s="31"/>
      <c r="O40" s="32"/>
      <c r="P40" s="32"/>
      <c r="Q40" s="30"/>
      <c r="R40" s="31"/>
      <c r="S40" s="32"/>
      <c r="T40" s="31"/>
      <c r="U40" s="32"/>
      <c r="V40" s="31"/>
      <c r="W40" s="32"/>
      <c r="X40" s="31"/>
      <c r="Y40" s="32"/>
      <c r="Z40" s="31"/>
      <c r="AA40" s="32"/>
      <c r="AB40" s="31"/>
      <c r="AC40" s="17"/>
      <c r="AD40" s="22">
        <v>45887</v>
      </c>
      <c r="AE40" s="18">
        <v>729</v>
      </c>
      <c r="AF40" s="18">
        <v>0</v>
      </c>
      <c r="AG40" s="18">
        <v>0</v>
      </c>
      <c r="AH40" s="18">
        <v>0</v>
      </c>
      <c r="AI40" s="18">
        <v>0</v>
      </c>
      <c r="AJ40" s="18">
        <v>0</v>
      </c>
      <c r="AK40" s="18">
        <v>0</v>
      </c>
      <c r="AL40" s="26">
        <f t="shared" si="32"/>
        <v>0</v>
      </c>
      <c r="AM40" s="37">
        <v>0</v>
      </c>
      <c r="AN40" s="25">
        <f t="shared" si="33"/>
        <v>46616</v>
      </c>
      <c r="AO40" s="27">
        <f t="shared" ca="1" si="12"/>
        <v>413</v>
      </c>
      <c r="AP40" s="165" t="s">
        <v>2</v>
      </c>
      <c r="AQ40" s="19">
        <v>12186541.869999999</v>
      </c>
      <c r="AR40" s="91">
        <v>0</v>
      </c>
      <c r="AS40" s="91">
        <v>0</v>
      </c>
      <c r="AT40" s="91">
        <v>0</v>
      </c>
      <c r="AU40" s="91">
        <v>0</v>
      </c>
      <c r="AV40" s="91">
        <v>0</v>
      </c>
      <c r="AW40" s="91">
        <v>0</v>
      </c>
      <c r="AX40" s="28">
        <f t="shared" si="49"/>
        <v>0</v>
      </c>
      <c r="AY40" s="28">
        <f t="shared" si="50"/>
        <v>12186541.869999999</v>
      </c>
      <c r="AZ40" s="19">
        <v>953929.85</v>
      </c>
      <c r="BA40" s="19">
        <f t="shared" si="39"/>
        <v>786516.13</v>
      </c>
      <c r="BB40" s="181">
        <v>198094.39</v>
      </c>
      <c r="BC40" s="181">
        <v>196567.59</v>
      </c>
      <c r="BD40" s="181">
        <v>195052.76</v>
      </c>
      <c r="BE40" s="181">
        <v>196801.39</v>
      </c>
      <c r="BF40" s="181">
        <v>0</v>
      </c>
      <c r="BG40" s="181">
        <v>0</v>
      </c>
      <c r="BH40" s="181">
        <v>0</v>
      </c>
      <c r="BI40" s="181">
        <v>0</v>
      </c>
      <c r="BJ40" s="181">
        <v>0</v>
      </c>
      <c r="BK40" s="181">
        <v>0</v>
      </c>
      <c r="BL40" s="181">
        <v>0</v>
      </c>
      <c r="BM40" s="181">
        <v>0</v>
      </c>
      <c r="BN40" s="37">
        <v>9</v>
      </c>
      <c r="BO40" s="19">
        <f t="shared" si="40"/>
        <v>1740445.98</v>
      </c>
      <c r="BP40" s="19">
        <f t="shared" si="51"/>
        <v>10446095.889999999</v>
      </c>
      <c r="BQ40" s="29">
        <f t="shared" si="48"/>
        <v>0.14281705167603875</v>
      </c>
      <c r="BR40" s="15"/>
      <c r="BS40" s="94"/>
      <c r="BT40" s="34"/>
    </row>
    <row r="41" spans="1:214" ht="34" customHeight="1">
      <c r="A41" s="81"/>
      <c r="B41" s="82">
        <v>33</v>
      </c>
      <c r="C41" s="50" t="s">
        <v>187</v>
      </c>
      <c r="D41" s="21" t="s">
        <v>188</v>
      </c>
      <c r="E41" s="20" t="s">
        <v>189</v>
      </c>
      <c r="F41" s="23" t="s">
        <v>54</v>
      </c>
      <c r="G41" s="23" t="s">
        <v>73</v>
      </c>
      <c r="H41" s="23" t="s">
        <v>74</v>
      </c>
      <c r="I41" s="23" t="s">
        <v>47</v>
      </c>
      <c r="J41" s="23" t="s">
        <v>57</v>
      </c>
      <c r="K41" s="23" t="s">
        <v>171</v>
      </c>
      <c r="L41" s="22">
        <v>46044</v>
      </c>
      <c r="M41" s="22">
        <v>46055</v>
      </c>
      <c r="N41" s="22">
        <v>46084</v>
      </c>
      <c r="O41" s="22" t="s">
        <v>47</v>
      </c>
      <c r="P41" s="22" t="s">
        <v>47</v>
      </c>
      <c r="Q41" s="22">
        <v>46108</v>
      </c>
      <c r="R41" s="31"/>
      <c r="S41" s="32"/>
      <c r="T41" s="31"/>
      <c r="U41" s="32"/>
      <c r="V41" s="31"/>
      <c r="W41" s="32"/>
      <c r="X41" s="31"/>
      <c r="Y41" s="32"/>
      <c r="Z41" s="31"/>
      <c r="AA41" s="32"/>
      <c r="AB41" s="31"/>
      <c r="AC41" s="17"/>
      <c r="AD41" s="22">
        <v>45173</v>
      </c>
      <c r="AE41" s="18">
        <v>730</v>
      </c>
      <c r="AF41" s="98">
        <v>730</v>
      </c>
      <c r="AG41" s="98">
        <v>0</v>
      </c>
      <c r="AH41" s="18">
        <v>0</v>
      </c>
      <c r="AI41" s="18">
        <v>0</v>
      </c>
      <c r="AJ41" s="18">
        <v>0</v>
      </c>
      <c r="AK41" s="18">
        <v>0</v>
      </c>
      <c r="AL41" s="26">
        <f t="shared" si="32"/>
        <v>730</v>
      </c>
      <c r="AM41" s="37">
        <v>2</v>
      </c>
      <c r="AN41" s="25">
        <f t="shared" si="33"/>
        <v>46633</v>
      </c>
      <c r="AO41" s="27">
        <f t="shared" ca="1" si="12"/>
        <v>430</v>
      </c>
      <c r="AP41" s="165" t="s">
        <v>2</v>
      </c>
      <c r="AQ41" s="19">
        <v>5524477.2999999998</v>
      </c>
      <c r="AR41" s="100">
        <v>4697013.2700000005</v>
      </c>
      <c r="AS41" s="100">
        <v>0</v>
      </c>
      <c r="AT41" s="91">
        <v>0</v>
      </c>
      <c r="AU41" s="91">
        <v>0</v>
      </c>
      <c r="AV41" s="91">
        <v>0</v>
      </c>
      <c r="AW41" s="91">
        <v>0</v>
      </c>
      <c r="AX41" s="28">
        <f t="shared" si="49"/>
        <v>4697013.2700000005</v>
      </c>
      <c r="AY41" s="28">
        <f t="shared" si="50"/>
        <v>10221490.57</v>
      </c>
      <c r="AZ41" s="19">
        <v>3909971.61</v>
      </c>
      <c r="BA41" s="19">
        <f t="shared" si="39"/>
        <v>68728.91</v>
      </c>
      <c r="BB41" s="181">
        <v>68728.91</v>
      </c>
      <c r="BC41" s="181">
        <v>0</v>
      </c>
      <c r="BD41" s="181">
        <v>0</v>
      </c>
      <c r="BE41" s="181">
        <v>0</v>
      </c>
      <c r="BF41" s="181">
        <v>0</v>
      </c>
      <c r="BG41" s="181">
        <v>0</v>
      </c>
      <c r="BH41" s="181">
        <v>0</v>
      </c>
      <c r="BI41" s="181">
        <v>0</v>
      </c>
      <c r="BJ41" s="181">
        <v>0</v>
      </c>
      <c r="BK41" s="181">
        <v>0</v>
      </c>
      <c r="BL41" s="181">
        <v>0</v>
      </c>
      <c r="BM41" s="181">
        <v>0</v>
      </c>
      <c r="BN41" s="37">
        <v>26</v>
      </c>
      <c r="BO41" s="19">
        <f t="shared" si="40"/>
        <v>3978700.52</v>
      </c>
      <c r="BP41" s="19">
        <f t="shared" si="51"/>
        <v>6242790.0500000007</v>
      </c>
      <c r="BQ41" s="29">
        <f t="shared" si="48"/>
        <v>0.38924856338247349</v>
      </c>
      <c r="BR41" s="15"/>
      <c r="BS41" s="94"/>
      <c r="BT41" s="34"/>
    </row>
    <row r="42" spans="1:214" ht="34" customHeight="1">
      <c r="A42" s="81"/>
      <c r="B42" s="82">
        <v>34</v>
      </c>
      <c r="C42" s="50" t="s">
        <v>190</v>
      </c>
      <c r="D42" s="21" t="s">
        <v>191</v>
      </c>
      <c r="E42" s="20" t="s">
        <v>192</v>
      </c>
      <c r="F42" s="23" t="s">
        <v>54</v>
      </c>
      <c r="G42" s="23" t="s">
        <v>55</v>
      </c>
      <c r="H42" s="23" t="s">
        <v>56</v>
      </c>
      <c r="I42" s="23" t="s">
        <v>47</v>
      </c>
      <c r="J42" s="23" t="s">
        <v>57</v>
      </c>
      <c r="K42" s="23" t="s">
        <v>57</v>
      </c>
      <c r="L42" s="17"/>
      <c r="M42" s="17"/>
      <c r="N42" s="31"/>
      <c r="O42" s="22">
        <v>46035</v>
      </c>
      <c r="P42" s="22">
        <v>46036</v>
      </c>
      <c r="Q42" s="22">
        <v>46051</v>
      </c>
      <c r="R42" s="17"/>
      <c r="S42" s="32"/>
      <c r="T42" s="31"/>
      <c r="U42" s="32"/>
      <c r="V42" s="31"/>
      <c r="W42" s="32"/>
      <c r="X42" s="31"/>
      <c r="Y42" s="32"/>
      <c r="Z42" s="31"/>
      <c r="AA42" s="32"/>
      <c r="AB42" s="31"/>
      <c r="AC42" s="17"/>
      <c r="AD42" s="22">
        <v>45400</v>
      </c>
      <c r="AE42" s="18">
        <v>622</v>
      </c>
      <c r="AF42" s="98">
        <v>0</v>
      </c>
      <c r="AG42" s="98">
        <v>730</v>
      </c>
      <c r="AH42" s="18">
        <v>0</v>
      </c>
      <c r="AI42" s="18">
        <v>0</v>
      </c>
      <c r="AJ42" s="18">
        <v>0</v>
      </c>
      <c r="AK42" s="18">
        <v>0</v>
      </c>
      <c r="AL42" s="26">
        <f t="shared" si="32"/>
        <v>730</v>
      </c>
      <c r="AM42" s="37">
        <v>2</v>
      </c>
      <c r="AN42" s="25">
        <f t="shared" si="33"/>
        <v>46752</v>
      </c>
      <c r="AO42" s="27">
        <f t="shared" ca="1" si="12"/>
        <v>549</v>
      </c>
      <c r="AP42" s="165" t="s">
        <v>2</v>
      </c>
      <c r="AQ42" s="19">
        <v>102000</v>
      </c>
      <c r="AR42" s="100">
        <v>180000</v>
      </c>
      <c r="AS42" s="100">
        <v>360000</v>
      </c>
      <c r="AT42" s="91">
        <v>0</v>
      </c>
      <c r="AU42" s="91">
        <v>0</v>
      </c>
      <c r="AV42" s="91">
        <v>0</v>
      </c>
      <c r="AW42" s="91">
        <v>0</v>
      </c>
      <c r="AX42" s="28">
        <f t="shared" si="49"/>
        <v>540000</v>
      </c>
      <c r="AY42" s="28">
        <f t="shared" si="50"/>
        <v>642000</v>
      </c>
      <c r="AZ42" s="19">
        <v>275932.84999999998</v>
      </c>
      <c r="BA42" s="19">
        <f t="shared" si="39"/>
        <v>53423.149999999994</v>
      </c>
      <c r="BB42" s="181">
        <v>13547.89</v>
      </c>
      <c r="BC42" s="181">
        <v>13522.85</v>
      </c>
      <c r="BD42" s="181">
        <v>13413.39</v>
      </c>
      <c r="BE42" s="181">
        <v>12939.02</v>
      </c>
      <c r="BF42" s="181">
        <v>0</v>
      </c>
      <c r="BG42" s="181">
        <v>0</v>
      </c>
      <c r="BH42" s="181">
        <v>0</v>
      </c>
      <c r="BI42" s="181">
        <v>0</v>
      </c>
      <c r="BJ42" s="181">
        <v>0</v>
      </c>
      <c r="BK42" s="181">
        <v>0</v>
      </c>
      <c r="BL42" s="181">
        <v>0</v>
      </c>
      <c r="BM42" s="181">
        <v>0</v>
      </c>
      <c r="BN42" s="37">
        <v>26</v>
      </c>
      <c r="BO42" s="19">
        <f t="shared" si="40"/>
        <v>329356</v>
      </c>
      <c r="BP42" s="19">
        <f t="shared" si="51"/>
        <v>312644</v>
      </c>
      <c r="BQ42" s="29">
        <f t="shared" si="48"/>
        <v>0.51301557632398753</v>
      </c>
      <c r="BR42" s="15"/>
      <c r="BS42" s="94"/>
      <c r="BT42" s="34"/>
    </row>
    <row r="43" spans="1:214" ht="34" customHeight="1">
      <c r="A43" s="81"/>
      <c r="B43" s="82">
        <v>35</v>
      </c>
      <c r="C43" s="50" t="s">
        <v>193</v>
      </c>
      <c r="D43" s="21" t="s">
        <v>194</v>
      </c>
      <c r="E43" s="20" t="s">
        <v>195</v>
      </c>
      <c r="F43" s="23" t="s">
        <v>54</v>
      </c>
      <c r="G43" s="23" t="s">
        <v>55</v>
      </c>
      <c r="H43" s="23" t="s">
        <v>56</v>
      </c>
      <c r="I43" s="23" t="s">
        <v>47</v>
      </c>
      <c r="J43" s="23" t="s">
        <v>57</v>
      </c>
      <c r="K43" s="23" t="s">
        <v>57</v>
      </c>
      <c r="L43" s="17"/>
      <c r="M43" s="17"/>
      <c r="N43" s="31"/>
      <c r="O43" s="17"/>
      <c r="P43" s="31"/>
      <c r="Q43" s="17"/>
      <c r="R43" s="31"/>
      <c r="S43" s="17"/>
      <c r="T43" s="31"/>
      <c r="U43" s="32"/>
      <c r="V43" s="31"/>
      <c r="W43" s="32"/>
      <c r="X43" s="31"/>
      <c r="Y43" s="32"/>
      <c r="Z43" s="31"/>
      <c r="AA43" s="32"/>
      <c r="AB43" s="31"/>
      <c r="AC43" s="17"/>
      <c r="AD43" s="22">
        <v>46048</v>
      </c>
      <c r="AE43" s="18">
        <v>729</v>
      </c>
      <c r="AF43" s="18">
        <v>0</v>
      </c>
      <c r="AG43" s="18">
        <v>0</v>
      </c>
      <c r="AH43" s="18">
        <v>0</v>
      </c>
      <c r="AI43" s="18">
        <v>0</v>
      </c>
      <c r="AJ43" s="18">
        <v>0</v>
      </c>
      <c r="AK43" s="18">
        <v>0</v>
      </c>
      <c r="AL43" s="26">
        <f t="shared" si="32"/>
        <v>0</v>
      </c>
      <c r="AM43" s="37">
        <v>0</v>
      </c>
      <c r="AN43" s="25">
        <f t="shared" si="33"/>
        <v>46777</v>
      </c>
      <c r="AO43" s="27">
        <f t="shared" ca="1" si="12"/>
        <v>574</v>
      </c>
      <c r="AP43" s="165" t="s">
        <v>2</v>
      </c>
      <c r="AQ43" s="19">
        <v>726403.2</v>
      </c>
      <c r="AR43" s="91">
        <v>0</v>
      </c>
      <c r="AS43" s="91">
        <v>0</v>
      </c>
      <c r="AT43" s="91">
        <v>0</v>
      </c>
      <c r="AU43" s="91">
        <v>0</v>
      </c>
      <c r="AV43" s="91">
        <v>0</v>
      </c>
      <c r="AW43" s="91">
        <v>0</v>
      </c>
      <c r="AX43" s="28">
        <f t="shared" si="49"/>
        <v>0</v>
      </c>
      <c r="AY43" s="28">
        <f t="shared" si="50"/>
        <v>726403.2</v>
      </c>
      <c r="AZ43" s="19">
        <v>0</v>
      </c>
      <c r="BA43" s="19">
        <f t="shared" si="39"/>
        <v>45915.380000000005</v>
      </c>
      <c r="BB43" s="181">
        <v>9812.2199999999993</v>
      </c>
      <c r="BC43" s="181">
        <v>12025.26</v>
      </c>
      <c r="BD43" s="181">
        <v>7035.75</v>
      </c>
      <c r="BE43" s="181">
        <v>6566.7</v>
      </c>
      <c r="BF43" s="181">
        <v>10475.450000000001</v>
      </c>
      <c r="BG43" s="181">
        <v>0</v>
      </c>
      <c r="BH43" s="181">
        <v>0</v>
      </c>
      <c r="BI43" s="181">
        <v>0</v>
      </c>
      <c r="BJ43" s="181">
        <v>0</v>
      </c>
      <c r="BK43" s="181">
        <v>0</v>
      </c>
      <c r="BL43" s="181">
        <v>0</v>
      </c>
      <c r="BM43" s="181">
        <v>0</v>
      </c>
      <c r="BN43" s="37">
        <v>5</v>
      </c>
      <c r="BO43" s="19">
        <f t="shared" si="40"/>
        <v>45915.380000000005</v>
      </c>
      <c r="BP43" s="19">
        <f t="shared" si="51"/>
        <v>680487.82</v>
      </c>
      <c r="BQ43" s="29">
        <f t="shared" si="48"/>
        <v>6.3209220443962807E-2</v>
      </c>
      <c r="BR43" s="15"/>
      <c r="BS43" s="94"/>
      <c r="BT43" s="34"/>
    </row>
    <row r="44" spans="1:214" ht="34" customHeight="1">
      <c r="A44" s="81"/>
      <c r="B44" s="82">
        <v>36</v>
      </c>
      <c r="C44" s="50" t="s">
        <v>196</v>
      </c>
      <c r="D44" s="84" t="s">
        <v>197</v>
      </c>
      <c r="E44" s="83" t="s">
        <v>198</v>
      </c>
      <c r="F44" s="85" t="s">
        <v>54</v>
      </c>
      <c r="G44" s="85" t="s">
        <v>55</v>
      </c>
      <c r="H44" s="85" t="s">
        <v>56</v>
      </c>
      <c r="I44" s="85" t="s">
        <v>47</v>
      </c>
      <c r="J44" s="23" t="s">
        <v>57</v>
      </c>
      <c r="K44" s="23" t="s">
        <v>57</v>
      </c>
      <c r="L44" s="86">
        <v>46065</v>
      </c>
      <c r="M44" s="86">
        <v>46139</v>
      </c>
      <c r="N44" s="86">
        <v>46147</v>
      </c>
      <c r="O44" s="17"/>
      <c r="P44" s="31"/>
      <c r="Q44" s="17"/>
      <c r="R44" s="31"/>
      <c r="S44" s="17"/>
      <c r="T44" s="31"/>
      <c r="U44" s="32"/>
      <c r="V44" s="31"/>
      <c r="W44" s="32"/>
      <c r="X44" s="31"/>
      <c r="Y44" s="32"/>
      <c r="Z44" s="31"/>
      <c r="AA44" s="32"/>
      <c r="AB44" s="31"/>
      <c r="AC44" s="17"/>
      <c r="AD44" s="86">
        <v>45706</v>
      </c>
      <c r="AE44" s="26">
        <v>364</v>
      </c>
      <c r="AF44" s="98">
        <v>730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f t="shared" si="32"/>
        <v>730</v>
      </c>
      <c r="AM44" s="37">
        <v>0</v>
      </c>
      <c r="AN44" s="25">
        <f t="shared" si="33"/>
        <v>46800</v>
      </c>
      <c r="AO44" s="27">
        <f t="shared" ca="1" si="12"/>
        <v>597</v>
      </c>
      <c r="AP44" s="164" t="s">
        <v>2</v>
      </c>
      <c r="AQ44" s="28">
        <v>143750</v>
      </c>
      <c r="AR44" s="100">
        <v>205440</v>
      </c>
      <c r="AS44" s="135">
        <v>0</v>
      </c>
      <c r="AT44" s="135">
        <v>0</v>
      </c>
      <c r="AU44" s="135">
        <v>0</v>
      </c>
      <c r="AV44" s="135">
        <v>0</v>
      </c>
      <c r="AW44" s="135">
        <v>0</v>
      </c>
      <c r="AX44" s="28">
        <f t="shared" si="49"/>
        <v>205440</v>
      </c>
      <c r="AY44" s="28">
        <f t="shared" si="50"/>
        <v>349190</v>
      </c>
      <c r="AZ44" s="28">
        <v>80991.67</v>
      </c>
      <c r="BA44" s="28">
        <f t="shared" si="39"/>
        <v>16560</v>
      </c>
      <c r="BB44" s="184">
        <v>8280</v>
      </c>
      <c r="BC44" s="184">
        <v>8280</v>
      </c>
      <c r="BD44" s="184">
        <v>0</v>
      </c>
      <c r="BE44" s="184">
        <v>0</v>
      </c>
      <c r="BF44" s="184">
        <v>0</v>
      </c>
      <c r="BG44" s="184">
        <v>0</v>
      </c>
      <c r="BH44" s="184">
        <v>0</v>
      </c>
      <c r="BI44" s="184">
        <v>0</v>
      </c>
      <c r="BJ44" s="184">
        <v>0</v>
      </c>
      <c r="BK44" s="184">
        <v>0</v>
      </c>
      <c r="BL44" s="184">
        <v>0</v>
      </c>
      <c r="BM44" s="184">
        <v>0</v>
      </c>
      <c r="BN44" s="37">
        <v>12</v>
      </c>
      <c r="BO44" s="28">
        <f>AZ44+BA44</f>
        <v>97551.67</v>
      </c>
      <c r="BP44" s="28">
        <f t="shared" si="51"/>
        <v>251638.33000000002</v>
      </c>
      <c r="BQ44" s="29">
        <f t="shared" si="48"/>
        <v>0.27936558893439101</v>
      </c>
      <c r="BR44" s="15"/>
      <c r="BS44" s="94"/>
    </row>
    <row r="45" spans="1:214" s="35" customFormat="1" ht="34" customHeight="1">
      <c r="A45" s="81"/>
      <c r="B45" s="82">
        <v>37</v>
      </c>
      <c r="C45" s="50" t="s">
        <v>199</v>
      </c>
      <c r="D45" s="21" t="s">
        <v>200</v>
      </c>
      <c r="E45" s="20" t="s">
        <v>201</v>
      </c>
      <c r="F45" s="33" t="s">
        <v>44</v>
      </c>
      <c r="G45" s="23" t="s">
        <v>45</v>
      </c>
      <c r="H45" s="23" t="s">
        <v>136</v>
      </c>
      <c r="I45" s="23" t="s">
        <v>47</v>
      </c>
      <c r="J45" s="23" t="s">
        <v>48</v>
      </c>
      <c r="K45" s="23" t="s">
        <v>47</v>
      </c>
      <c r="L45" s="17"/>
      <c r="M45" s="17"/>
      <c r="N45" s="31"/>
      <c r="O45" s="17"/>
      <c r="P45" s="31"/>
      <c r="Q45" s="17"/>
      <c r="R45" s="31"/>
      <c r="S45" s="17"/>
      <c r="T45" s="31"/>
      <c r="U45" s="32"/>
      <c r="V45" s="31"/>
      <c r="W45" s="32"/>
      <c r="X45" s="31"/>
      <c r="Y45" s="32"/>
      <c r="Z45" s="31"/>
      <c r="AA45" s="32"/>
      <c r="AB45" s="31"/>
      <c r="AC45" s="17"/>
      <c r="AD45" s="22">
        <v>45385</v>
      </c>
      <c r="AE45" s="18">
        <v>365</v>
      </c>
      <c r="AF45" s="98">
        <v>365</v>
      </c>
      <c r="AG45" s="98">
        <v>0</v>
      </c>
      <c r="AH45" s="98">
        <v>0</v>
      </c>
      <c r="AI45" s="98">
        <v>731</v>
      </c>
      <c r="AJ45" s="18">
        <v>0</v>
      </c>
      <c r="AK45" s="18">
        <v>0</v>
      </c>
      <c r="AL45" s="26">
        <f t="shared" si="32"/>
        <v>1096</v>
      </c>
      <c r="AM45" s="37">
        <v>4</v>
      </c>
      <c r="AN45" s="25">
        <f t="shared" si="33"/>
        <v>46846</v>
      </c>
      <c r="AO45" s="27">
        <f t="shared" ca="1" si="12"/>
        <v>643</v>
      </c>
      <c r="AP45" s="165" t="s">
        <v>2</v>
      </c>
      <c r="AQ45" s="19">
        <v>13010385.93</v>
      </c>
      <c r="AR45" s="100">
        <v>0</v>
      </c>
      <c r="AS45" s="100">
        <v>0</v>
      </c>
      <c r="AT45" s="100">
        <v>13229654.390000001</v>
      </c>
      <c r="AU45" s="100">
        <v>28000000</v>
      </c>
      <c r="AV45" s="91">
        <v>0</v>
      </c>
      <c r="AW45" s="91">
        <v>0</v>
      </c>
      <c r="AX45" s="28">
        <f t="shared" ref="AX45" si="52">AR45+AS45+AT45+AU45+AW45</f>
        <v>41229654.390000001</v>
      </c>
      <c r="AY45" s="28">
        <f t="shared" ref="AY45" si="53">AQ45+AX45</f>
        <v>54240040.32</v>
      </c>
      <c r="AZ45" s="19">
        <v>17331983.620000001</v>
      </c>
      <c r="BA45" s="19">
        <f t="shared" ref="BA45" si="54">SUM(BB45:BM45)</f>
        <v>5557628.3600000003</v>
      </c>
      <c r="BB45" s="181">
        <v>1030928.61</v>
      </c>
      <c r="BC45" s="181">
        <v>1480298.24</v>
      </c>
      <c r="BD45" s="181">
        <v>1674777.22</v>
      </c>
      <c r="BE45" s="181">
        <f>687347.86+684276.43</f>
        <v>1371624.29</v>
      </c>
      <c r="BF45" s="181">
        <v>0</v>
      </c>
      <c r="BG45" s="181">
        <v>0</v>
      </c>
      <c r="BH45" s="181">
        <v>0</v>
      </c>
      <c r="BI45" s="181">
        <v>0</v>
      </c>
      <c r="BJ45" s="181">
        <v>0</v>
      </c>
      <c r="BK45" s="181">
        <v>0</v>
      </c>
      <c r="BL45" s="181">
        <v>0</v>
      </c>
      <c r="BM45" s="181">
        <v>0</v>
      </c>
      <c r="BN45" s="37">
        <v>27</v>
      </c>
      <c r="BO45" s="19">
        <f t="shared" si="40"/>
        <v>22889611.98</v>
      </c>
      <c r="BP45" s="19">
        <f t="shared" ref="BP45" si="55">AY45-BO45</f>
        <v>31350428.34</v>
      </c>
      <c r="BQ45" s="29">
        <f t="shared" si="48"/>
        <v>0.42200580687178957</v>
      </c>
      <c r="BR45" s="15"/>
      <c r="BS45" s="94"/>
      <c r="BT45" s="34"/>
      <c r="BU45" s="13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</row>
    <row r="46" spans="1:214" ht="34" customHeight="1">
      <c r="A46" s="207"/>
      <c r="B46" s="82">
        <v>38</v>
      </c>
      <c r="C46" s="50" t="s">
        <v>270</v>
      </c>
      <c r="D46" s="21" t="s">
        <v>265</v>
      </c>
      <c r="E46" s="20" t="s">
        <v>266</v>
      </c>
      <c r="F46" s="33" t="s">
        <v>44</v>
      </c>
      <c r="G46" s="23" t="s">
        <v>86</v>
      </c>
      <c r="H46" s="23" t="s">
        <v>255</v>
      </c>
      <c r="I46" s="23" t="s">
        <v>47</v>
      </c>
      <c r="J46" s="23" t="s">
        <v>256</v>
      </c>
      <c r="K46" s="23" t="s">
        <v>47</v>
      </c>
      <c r="L46" s="17"/>
      <c r="M46" s="17"/>
      <c r="N46" s="31"/>
      <c r="O46" s="17"/>
      <c r="P46" s="31"/>
      <c r="Q46" s="17"/>
      <c r="R46" s="31"/>
      <c r="S46" s="17"/>
      <c r="T46" s="31"/>
      <c r="U46" s="17"/>
      <c r="V46" s="31"/>
      <c r="W46" s="30"/>
      <c r="X46" s="31"/>
      <c r="Y46" s="30"/>
      <c r="Z46" s="31"/>
      <c r="AA46" s="32"/>
      <c r="AB46" s="31"/>
      <c r="AC46" s="17"/>
      <c r="AD46" s="22">
        <v>45200</v>
      </c>
      <c r="AE46" s="18">
        <v>730</v>
      </c>
      <c r="AF46" s="98">
        <v>0</v>
      </c>
      <c r="AG46" s="98">
        <v>0</v>
      </c>
      <c r="AH46" s="98">
        <v>0</v>
      </c>
      <c r="AI46" s="98">
        <v>0</v>
      </c>
      <c r="AJ46" s="98">
        <v>0</v>
      </c>
      <c r="AK46" s="98">
        <v>1004</v>
      </c>
      <c r="AL46" s="26">
        <f>AF46+AG46+AH46+AI46+AK46+AJ46</f>
        <v>1004</v>
      </c>
      <c r="AM46" s="37">
        <v>6</v>
      </c>
      <c r="AN46" s="25">
        <f>AD46+AE46+AL46</f>
        <v>46934</v>
      </c>
      <c r="AO46" s="27">
        <f ca="1">AN46-$AN$1</f>
        <v>731</v>
      </c>
      <c r="AP46" s="165" t="s">
        <v>2</v>
      </c>
      <c r="AQ46" s="19">
        <v>6893.84</v>
      </c>
      <c r="AR46" s="200">
        <v>0</v>
      </c>
      <c r="AS46" s="200">
        <v>4003940</v>
      </c>
      <c r="AT46" s="200">
        <v>2001970</v>
      </c>
      <c r="AU46" s="200">
        <v>0</v>
      </c>
      <c r="AV46" s="200">
        <v>0</v>
      </c>
      <c r="AW46" s="200">
        <v>410000</v>
      </c>
      <c r="AX46" s="28">
        <f>AR46+AS46+AT46+AV46+AW46+AU46</f>
        <v>6415910</v>
      </c>
      <c r="AY46" s="28">
        <f>AQ46+AX46</f>
        <v>6422803.8399999999</v>
      </c>
      <c r="AZ46" s="19">
        <v>1516489.72</v>
      </c>
      <c r="BA46" s="19">
        <f>SUM(BB46:BM46)</f>
        <v>342784.84</v>
      </c>
      <c r="BB46" s="181">
        <f>65280.77+25632.92</f>
        <v>90913.69</v>
      </c>
      <c r="BC46" s="181">
        <v>60245.58</v>
      </c>
      <c r="BD46" s="181">
        <v>73150.710000000006</v>
      </c>
      <c r="BE46" s="181">
        <v>67184.740000000005</v>
      </c>
      <c r="BF46" s="181">
        <v>0</v>
      </c>
      <c r="BG46" s="181">
        <f>4845.62+46347.26+97.24</f>
        <v>51290.12</v>
      </c>
      <c r="BH46" s="181">
        <v>0</v>
      </c>
      <c r="BI46" s="181">
        <v>0</v>
      </c>
      <c r="BJ46" s="181">
        <v>0</v>
      </c>
      <c r="BK46" s="181">
        <v>0</v>
      </c>
      <c r="BL46" s="181">
        <v>0</v>
      </c>
      <c r="BM46" s="181">
        <v>0</v>
      </c>
      <c r="BN46" s="37">
        <v>65</v>
      </c>
      <c r="BO46" s="19">
        <f>AZ46+BA46</f>
        <v>1859274.56</v>
      </c>
      <c r="BP46" s="19">
        <f>AY46-BO46</f>
        <v>4563529.2799999993</v>
      </c>
      <c r="BQ46" s="29">
        <f>BO46/AY46</f>
        <v>0.2894802030883758</v>
      </c>
      <c r="BR46" s="15"/>
      <c r="BS46" s="14" t="s">
        <v>137</v>
      </c>
      <c r="BT46" s="34"/>
    </row>
    <row r="47" spans="1:214" ht="34" customHeight="1">
      <c r="A47" s="81"/>
      <c r="B47" s="82">
        <v>39</v>
      </c>
      <c r="C47" s="83" t="s">
        <v>202</v>
      </c>
      <c r="D47" s="21" t="s">
        <v>203</v>
      </c>
      <c r="E47" s="20" t="s">
        <v>204</v>
      </c>
      <c r="F47" s="33" t="s">
        <v>44</v>
      </c>
      <c r="G47" s="23" t="s">
        <v>45</v>
      </c>
      <c r="H47" s="85" t="s">
        <v>46</v>
      </c>
      <c r="I47" s="23" t="s">
        <v>47</v>
      </c>
      <c r="J47" s="23" t="s">
        <v>48</v>
      </c>
      <c r="K47" s="23" t="s">
        <v>66</v>
      </c>
      <c r="L47" s="17"/>
      <c r="M47" s="17"/>
      <c r="N47" s="31"/>
      <c r="O47" s="17"/>
      <c r="P47" s="31"/>
      <c r="Q47" s="17"/>
      <c r="R47" s="31"/>
      <c r="S47" s="17"/>
      <c r="T47" s="31"/>
      <c r="U47" s="32"/>
      <c r="V47" s="31"/>
      <c r="W47" s="32"/>
      <c r="X47" s="31"/>
      <c r="Y47" s="32"/>
      <c r="Z47" s="31"/>
      <c r="AA47" s="32"/>
      <c r="AB47" s="31"/>
      <c r="AC47" s="17"/>
      <c r="AD47" s="22">
        <v>44312</v>
      </c>
      <c r="AE47" s="18">
        <v>1460</v>
      </c>
      <c r="AF47" s="98">
        <v>4268</v>
      </c>
      <c r="AG47" s="18">
        <v>0</v>
      </c>
      <c r="AH47" s="18">
        <v>0</v>
      </c>
      <c r="AI47" s="18">
        <v>0</v>
      </c>
      <c r="AJ47" s="18">
        <v>0</v>
      </c>
      <c r="AK47" s="18">
        <v>0</v>
      </c>
      <c r="AL47" s="26">
        <f t="shared" si="32"/>
        <v>4268</v>
      </c>
      <c r="AM47" s="37">
        <v>1</v>
      </c>
      <c r="AN47" s="25">
        <f t="shared" si="33"/>
        <v>50040</v>
      </c>
      <c r="AO47" s="27">
        <f t="shared" ca="1" si="12"/>
        <v>3837</v>
      </c>
      <c r="AP47" s="165" t="s">
        <v>205</v>
      </c>
      <c r="AQ47" s="19">
        <v>66803620</v>
      </c>
      <c r="AR47" s="100">
        <v>180000</v>
      </c>
      <c r="AS47" s="91">
        <v>0</v>
      </c>
      <c r="AT47" s="91">
        <v>0</v>
      </c>
      <c r="AU47" s="91">
        <v>0</v>
      </c>
      <c r="AV47" s="91">
        <v>0</v>
      </c>
      <c r="AW47" s="91">
        <v>0</v>
      </c>
      <c r="AX47" s="28">
        <f t="shared" ref="AX47:AX53" si="56">AR47+AS47+AT47+AU47+AW47</f>
        <v>180000</v>
      </c>
      <c r="AY47" s="28">
        <f t="shared" ref="AY47:AY53" si="57">AQ47+AX47</f>
        <v>66983620</v>
      </c>
      <c r="AZ47" s="19">
        <v>135000</v>
      </c>
      <c r="BA47" s="19">
        <f t="shared" ref="BA47:BA53" si="58">SUM(BB47:BM47)</f>
        <v>0</v>
      </c>
      <c r="BB47" s="181">
        <v>0</v>
      </c>
      <c r="BC47" s="181">
        <v>0</v>
      </c>
      <c r="BD47" s="181">
        <v>0</v>
      </c>
      <c r="BE47" s="181">
        <v>0</v>
      </c>
      <c r="BF47" s="181">
        <v>0</v>
      </c>
      <c r="BG47" s="181">
        <v>0</v>
      </c>
      <c r="BH47" s="181">
        <v>0</v>
      </c>
      <c r="BI47" s="181">
        <v>0</v>
      </c>
      <c r="BJ47" s="181">
        <v>0</v>
      </c>
      <c r="BK47" s="181">
        <v>0</v>
      </c>
      <c r="BL47" s="181">
        <v>0</v>
      </c>
      <c r="BM47" s="181">
        <v>0</v>
      </c>
      <c r="BN47" s="37">
        <v>3</v>
      </c>
      <c r="BO47" s="19">
        <f t="shared" si="40"/>
        <v>135000</v>
      </c>
      <c r="BP47" s="19">
        <f t="shared" ref="BP47:BP53" si="59">AY47-BO47</f>
        <v>66848620</v>
      </c>
      <c r="BQ47" s="29">
        <f t="shared" si="48"/>
        <v>2.0154180977379247E-3</v>
      </c>
      <c r="BR47" s="136" t="s">
        <v>2</v>
      </c>
      <c r="BS47" s="94"/>
      <c r="BT47" s="34"/>
    </row>
    <row r="48" spans="1:214" ht="34" customHeight="1">
      <c r="A48" s="81"/>
      <c r="B48" s="82">
        <v>40</v>
      </c>
      <c r="C48" s="50" t="s">
        <v>206</v>
      </c>
      <c r="D48" s="21" t="s">
        <v>207</v>
      </c>
      <c r="E48" s="20" t="s">
        <v>208</v>
      </c>
      <c r="F48" s="23" t="s">
        <v>54</v>
      </c>
      <c r="G48" s="23" t="s">
        <v>55</v>
      </c>
      <c r="H48" s="23" t="s">
        <v>56</v>
      </c>
      <c r="I48" s="23" t="s">
        <v>47</v>
      </c>
      <c r="J48" s="23" t="s">
        <v>57</v>
      </c>
      <c r="K48" s="23" t="s">
        <v>57</v>
      </c>
      <c r="L48" s="17"/>
      <c r="M48" s="17"/>
      <c r="N48" s="31"/>
      <c r="O48" s="22">
        <v>45888</v>
      </c>
      <c r="P48" s="22">
        <v>45895</v>
      </c>
      <c r="Q48" s="22" t="s">
        <v>75</v>
      </c>
      <c r="R48" s="17"/>
      <c r="S48" s="32"/>
      <c r="T48" s="31"/>
      <c r="U48" s="32"/>
      <c r="V48" s="31"/>
      <c r="W48" s="32"/>
      <c r="X48" s="31"/>
      <c r="Y48" s="32"/>
      <c r="Z48" s="31"/>
      <c r="AA48" s="32"/>
      <c r="AB48" s="31"/>
      <c r="AC48" s="17"/>
      <c r="AD48" s="22">
        <v>43988</v>
      </c>
      <c r="AE48" s="18">
        <v>7513</v>
      </c>
      <c r="AF48" s="18">
        <v>0</v>
      </c>
      <c r="AG48" s="18">
        <v>0</v>
      </c>
      <c r="AH48" s="18">
        <v>0</v>
      </c>
      <c r="AI48" s="18">
        <v>0</v>
      </c>
      <c r="AJ48" s="18">
        <v>0</v>
      </c>
      <c r="AK48" s="18">
        <v>0</v>
      </c>
      <c r="AL48" s="26">
        <f t="shared" si="32"/>
        <v>0</v>
      </c>
      <c r="AM48" s="37">
        <v>0</v>
      </c>
      <c r="AN48" s="25">
        <f t="shared" si="33"/>
        <v>51501</v>
      </c>
      <c r="AO48" s="27">
        <f t="shared" ca="1" si="12"/>
        <v>5298</v>
      </c>
      <c r="AP48" s="165" t="s">
        <v>209</v>
      </c>
      <c r="AQ48" s="19">
        <v>326307.12</v>
      </c>
      <c r="AR48" s="100">
        <v>148439.01999999999</v>
      </c>
      <c r="AS48" s="100">
        <v>348816.72</v>
      </c>
      <c r="AT48" s="91">
        <v>0</v>
      </c>
      <c r="AU48" s="91">
        <v>0</v>
      </c>
      <c r="AV48" s="91">
        <v>0</v>
      </c>
      <c r="AW48" s="91">
        <v>0</v>
      </c>
      <c r="AX48" s="28">
        <f t="shared" si="56"/>
        <v>497255.74</v>
      </c>
      <c r="AY48" s="28">
        <f t="shared" si="57"/>
        <v>823562.86</v>
      </c>
      <c r="AZ48" s="19">
        <v>620086.43999999994</v>
      </c>
      <c r="BA48" s="19">
        <f t="shared" si="58"/>
        <v>145340.30000000002</v>
      </c>
      <c r="BB48" s="181">
        <v>29068.06</v>
      </c>
      <c r="BC48" s="181">
        <v>29068.06</v>
      </c>
      <c r="BD48" s="181">
        <v>29068.06</v>
      </c>
      <c r="BE48" s="181">
        <v>29068.06</v>
      </c>
      <c r="BF48" s="181">
        <v>29068.06</v>
      </c>
      <c r="BG48" s="181">
        <v>0</v>
      </c>
      <c r="BH48" s="181">
        <v>0</v>
      </c>
      <c r="BI48" s="181">
        <v>0</v>
      </c>
      <c r="BJ48" s="181">
        <v>0</v>
      </c>
      <c r="BK48" s="181">
        <v>0</v>
      </c>
      <c r="BL48" s="181">
        <v>0</v>
      </c>
      <c r="BM48" s="181">
        <v>0</v>
      </c>
      <c r="BN48" s="37">
        <v>27</v>
      </c>
      <c r="BO48" s="19">
        <f t="shared" si="40"/>
        <v>765426.74</v>
      </c>
      <c r="BP48" s="19">
        <f t="shared" si="59"/>
        <v>58136.119999999995</v>
      </c>
      <c r="BQ48" s="29">
        <f t="shared" si="48"/>
        <v>0.92940900710359864</v>
      </c>
      <c r="BR48" s="137" t="s">
        <v>2</v>
      </c>
      <c r="BS48" s="94"/>
      <c r="BT48" s="34"/>
    </row>
    <row r="49" spans="1:253" ht="34" customHeight="1">
      <c r="A49" s="81"/>
      <c r="B49" s="138">
        <v>41</v>
      </c>
      <c r="C49" s="113" t="s">
        <v>216</v>
      </c>
      <c r="D49" s="114" t="s">
        <v>217</v>
      </c>
      <c r="E49" s="115" t="s">
        <v>218</v>
      </c>
      <c r="F49" s="116" t="s">
        <v>54</v>
      </c>
      <c r="G49" s="116" t="s">
        <v>55</v>
      </c>
      <c r="H49" s="116" t="s">
        <v>56</v>
      </c>
      <c r="I49" s="116" t="s">
        <v>47</v>
      </c>
      <c r="J49" s="116" t="s">
        <v>219</v>
      </c>
      <c r="K49" s="116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>
        <v>44643</v>
      </c>
      <c r="AE49" s="121">
        <v>0</v>
      </c>
      <c r="AF49" s="121">
        <v>0</v>
      </c>
      <c r="AG49" s="121">
        <v>0</v>
      </c>
      <c r="AH49" s="121">
        <v>0</v>
      </c>
      <c r="AI49" s="121">
        <v>0</v>
      </c>
      <c r="AJ49" s="121">
        <v>0</v>
      </c>
      <c r="AK49" s="121">
        <v>0</v>
      </c>
      <c r="AL49" s="121">
        <f>AE49+AF49+AG49+AH49+AI49+AK49</f>
        <v>0</v>
      </c>
      <c r="AM49" s="123">
        <v>0</v>
      </c>
      <c r="AN49" s="143">
        <v>45529</v>
      </c>
      <c r="AO49" s="125" t="s">
        <v>214</v>
      </c>
      <c r="AP49" s="169" t="s">
        <v>220</v>
      </c>
      <c r="AQ49" s="126">
        <v>5524477.2999999998</v>
      </c>
      <c r="AR49" s="127">
        <v>0</v>
      </c>
      <c r="AS49" s="127">
        <v>0</v>
      </c>
      <c r="AT49" s="127">
        <v>0</v>
      </c>
      <c r="AU49" s="127">
        <v>0</v>
      </c>
      <c r="AV49" s="127">
        <v>0</v>
      </c>
      <c r="AW49" s="127">
        <v>0</v>
      </c>
      <c r="AX49" s="128">
        <f t="shared" si="56"/>
        <v>0</v>
      </c>
      <c r="AY49" s="128">
        <f t="shared" si="57"/>
        <v>5524477.2999999998</v>
      </c>
      <c r="AZ49" s="126">
        <v>3390735.5</v>
      </c>
      <c r="BA49" s="126">
        <f t="shared" si="58"/>
        <v>0</v>
      </c>
      <c r="BB49" s="183">
        <v>0</v>
      </c>
      <c r="BC49" s="183">
        <v>0</v>
      </c>
      <c r="BD49" s="183">
        <v>0</v>
      </c>
      <c r="BE49" s="183">
        <v>0</v>
      </c>
      <c r="BF49" s="183">
        <v>0</v>
      </c>
      <c r="BG49" s="183">
        <v>0</v>
      </c>
      <c r="BH49" s="183">
        <v>0</v>
      </c>
      <c r="BI49" s="183">
        <v>0</v>
      </c>
      <c r="BJ49" s="183">
        <v>0</v>
      </c>
      <c r="BK49" s="183">
        <v>0</v>
      </c>
      <c r="BL49" s="183">
        <v>0</v>
      </c>
      <c r="BM49" s="183">
        <v>0</v>
      </c>
      <c r="BN49" s="126" t="s">
        <v>2</v>
      </c>
      <c r="BO49" s="126">
        <f>AZ49+BA49</f>
        <v>3390735.5</v>
      </c>
      <c r="BP49" s="126">
        <f t="shared" si="59"/>
        <v>2133741.7999999998</v>
      </c>
      <c r="BQ49" s="129">
        <f t="shared" ref="BQ49:BQ54" si="60">BO49/AY49</f>
        <v>0.61376584894284936</v>
      </c>
      <c r="BR49" s="15"/>
      <c r="BS49" s="94"/>
    </row>
    <row r="50" spans="1:253" ht="34" customHeight="1">
      <c r="A50" s="81"/>
      <c r="B50" s="138">
        <v>42</v>
      </c>
      <c r="C50" s="113" t="s">
        <v>221</v>
      </c>
      <c r="D50" s="114" t="s">
        <v>222</v>
      </c>
      <c r="E50" s="115" t="s">
        <v>223</v>
      </c>
      <c r="F50" s="116" t="s">
        <v>54</v>
      </c>
      <c r="G50" s="116" t="s">
        <v>55</v>
      </c>
      <c r="H50" s="116" t="s">
        <v>56</v>
      </c>
      <c r="I50" s="116" t="s">
        <v>47</v>
      </c>
      <c r="J50" s="116" t="s">
        <v>219</v>
      </c>
      <c r="K50" s="116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>
        <v>45082</v>
      </c>
      <c r="AE50" s="121">
        <v>0</v>
      </c>
      <c r="AF50" s="121">
        <v>0</v>
      </c>
      <c r="AG50" s="121">
        <v>0</v>
      </c>
      <c r="AH50" s="121">
        <v>0</v>
      </c>
      <c r="AI50" s="121">
        <v>0</v>
      </c>
      <c r="AJ50" s="121">
        <v>0</v>
      </c>
      <c r="AK50" s="121">
        <v>0</v>
      </c>
      <c r="AL50" s="121">
        <f t="shared" ref="AL50:AL53" si="61">AE50+AF50+AG50+AH50+AI50+AK50</f>
        <v>0</v>
      </c>
      <c r="AM50" s="123">
        <v>0</v>
      </c>
      <c r="AN50" s="143">
        <v>45502</v>
      </c>
      <c r="AO50" s="125" t="s">
        <v>214</v>
      </c>
      <c r="AP50" s="169" t="s">
        <v>224</v>
      </c>
      <c r="AQ50" s="126">
        <v>41399329</v>
      </c>
      <c r="AR50" s="127">
        <v>0</v>
      </c>
      <c r="AS50" s="127">
        <v>0</v>
      </c>
      <c r="AT50" s="127">
        <v>0</v>
      </c>
      <c r="AU50" s="127">
        <v>0</v>
      </c>
      <c r="AV50" s="127">
        <v>0</v>
      </c>
      <c r="AW50" s="127">
        <v>0</v>
      </c>
      <c r="AX50" s="128">
        <f t="shared" si="56"/>
        <v>0</v>
      </c>
      <c r="AY50" s="128">
        <f t="shared" si="57"/>
        <v>41399329</v>
      </c>
      <c r="AZ50" s="126">
        <v>38824092.409999996</v>
      </c>
      <c r="BA50" s="126">
        <f t="shared" si="58"/>
        <v>0</v>
      </c>
      <c r="BB50" s="183">
        <v>0</v>
      </c>
      <c r="BC50" s="183">
        <v>0</v>
      </c>
      <c r="BD50" s="183">
        <v>0</v>
      </c>
      <c r="BE50" s="183">
        <v>0</v>
      </c>
      <c r="BF50" s="183">
        <v>0</v>
      </c>
      <c r="BG50" s="183">
        <v>0</v>
      </c>
      <c r="BH50" s="183">
        <v>0</v>
      </c>
      <c r="BI50" s="183">
        <v>0</v>
      </c>
      <c r="BJ50" s="183">
        <v>0</v>
      </c>
      <c r="BK50" s="183">
        <v>0</v>
      </c>
      <c r="BL50" s="183">
        <v>0</v>
      </c>
      <c r="BM50" s="183">
        <v>0</v>
      </c>
      <c r="BN50" s="126" t="s">
        <v>2</v>
      </c>
      <c r="BO50" s="126">
        <f>AZ50+BA50</f>
        <v>38824092.409999996</v>
      </c>
      <c r="BP50" s="126">
        <f t="shared" si="59"/>
        <v>2575236.5900000036</v>
      </c>
      <c r="BQ50" s="129">
        <f t="shared" si="60"/>
        <v>0.93779520943443306</v>
      </c>
      <c r="BR50" s="15"/>
      <c r="BS50" s="14" t="s">
        <v>225</v>
      </c>
      <c r="BT50" s="14" t="s">
        <v>226</v>
      </c>
      <c r="BU50" s="14" t="s">
        <v>227</v>
      </c>
      <c r="BV50" s="13">
        <v>6682993.4900000002</v>
      </c>
    </row>
    <row r="51" spans="1:253" ht="34" customHeight="1">
      <c r="A51" s="81"/>
      <c r="B51" s="138">
        <v>43</v>
      </c>
      <c r="C51" s="113" t="s">
        <v>228</v>
      </c>
      <c r="D51" s="114" t="s">
        <v>229</v>
      </c>
      <c r="E51" s="115" t="s">
        <v>230</v>
      </c>
      <c r="F51" s="116" t="s">
        <v>54</v>
      </c>
      <c r="G51" s="116" t="s">
        <v>55</v>
      </c>
      <c r="H51" s="116" t="s">
        <v>56</v>
      </c>
      <c r="I51" s="116" t="s">
        <v>47</v>
      </c>
      <c r="J51" s="116" t="s">
        <v>219</v>
      </c>
      <c r="K51" s="116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>
        <v>44634</v>
      </c>
      <c r="AE51" s="121">
        <v>0</v>
      </c>
      <c r="AF51" s="121">
        <v>0</v>
      </c>
      <c r="AG51" s="121">
        <v>0</v>
      </c>
      <c r="AH51" s="121">
        <v>0</v>
      </c>
      <c r="AI51" s="121">
        <v>0</v>
      </c>
      <c r="AJ51" s="121">
        <v>0</v>
      </c>
      <c r="AK51" s="121">
        <v>0</v>
      </c>
      <c r="AL51" s="121">
        <f t="shared" si="61"/>
        <v>0</v>
      </c>
      <c r="AM51" s="123">
        <v>0</v>
      </c>
      <c r="AN51" s="143">
        <v>45924</v>
      </c>
      <c r="AO51" s="125" t="s">
        <v>214</v>
      </c>
      <c r="AP51" s="169" t="s">
        <v>231</v>
      </c>
      <c r="AQ51" s="126">
        <v>6775911.0199999996</v>
      </c>
      <c r="AR51" s="127">
        <v>0</v>
      </c>
      <c r="AS51" s="127">
        <v>0</v>
      </c>
      <c r="AT51" s="127">
        <v>0</v>
      </c>
      <c r="AU51" s="127">
        <v>0</v>
      </c>
      <c r="AV51" s="127">
        <v>0</v>
      </c>
      <c r="AW51" s="127">
        <v>0</v>
      </c>
      <c r="AX51" s="128">
        <f t="shared" si="56"/>
        <v>0</v>
      </c>
      <c r="AY51" s="128">
        <f t="shared" si="57"/>
        <v>6775911.0199999996</v>
      </c>
      <c r="AZ51" s="126">
        <v>6744211.9500000002</v>
      </c>
      <c r="BA51" s="126">
        <f t="shared" si="58"/>
        <v>0</v>
      </c>
      <c r="BB51" s="183">
        <v>0</v>
      </c>
      <c r="BC51" s="183">
        <v>0</v>
      </c>
      <c r="BD51" s="183">
        <v>0</v>
      </c>
      <c r="BE51" s="183">
        <v>0</v>
      </c>
      <c r="BF51" s="183">
        <v>0</v>
      </c>
      <c r="BG51" s="183">
        <v>0</v>
      </c>
      <c r="BH51" s="183">
        <v>0</v>
      </c>
      <c r="BI51" s="183">
        <v>0</v>
      </c>
      <c r="BJ51" s="183">
        <v>0</v>
      </c>
      <c r="BK51" s="183">
        <v>0</v>
      </c>
      <c r="BL51" s="183">
        <v>0</v>
      </c>
      <c r="BM51" s="183">
        <v>0</v>
      </c>
      <c r="BN51" s="126" t="s">
        <v>2</v>
      </c>
      <c r="BO51" s="126">
        <f>AZ51+BA51</f>
        <v>6744211.9500000002</v>
      </c>
      <c r="BP51" s="126">
        <f t="shared" si="59"/>
        <v>31699.069999999367</v>
      </c>
      <c r="BQ51" s="129">
        <f t="shared" si="60"/>
        <v>0.99532179954748001</v>
      </c>
      <c r="BR51" s="144" t="s">
        <v>2</v>
      </c>
      <c r="BS51" s="145"/>
      <c r="BT51" s="2"/>
      <c r="BU51" s="2"/>
    </row>
    <row r="52" spans="1:253" ht="34" customHeight="1">
      <c r="A52" s="81"/>
      <c r="B52" s="138">
        <v>44</v>
      </c>
      <c r="C52" s="113" t="s">
        <v>141</v>
      </c>
      <c r="D52" s="114" t="s">
        <v>232</v>
      </c>
      <c r="E52" s="115" t="s">
        <v>233</v>
      </c>
      <c r="F52" s="116" t="s">
        <v>54</v>
      </c>
      <c r="G52" s="116" t="s">
        <v>55</v>
      </c>
      <c r="H52" s="116" t="s">
        <v>56</v>
      </c>
      <c r="I52" s="116" t="s">
        <v>47</v>
      </c>
      <c r="J52" s="116" t="s">
        <v>219</v>
      </c>
      <c r="K52" s="116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>
        <v>45260</v>
      </c>
      <c r="AE52" s="121">
        <v>0</v>
      </c>
      <c r="AF52" s="121">
        <v>0</v>
      </c>
      <c r="AG52" s="121">
        <v>0</v>
      </c>
      <c r="AH52" s="121">
        <v>0</v>
      </c>
      <c r="AI52" s="121">
        <v>0</v>
      </c>
      <c r="AJ52" s="121">
        <v>0</v>
      </c>
      <c r="AK52" s="121">
        <v>0</v>
      </c>
      <c r="AL52" s="121">
        <f t="shared" si="61"/>
        <v>0</v>
      </c>
      <c r="AM52" s="123">
        <v>0</v>
      </c>
      <c r="AN52" s="143">
        <v>45990</v>
      </c>
      <c r="AO52" s="125" t="s">
        <v>214</v>
      </c>
      <c r="AP52" s="169" t="s">
        <v>234</v>
      </c>
      <c r="AQ52" s="126">
        <v>4000000</v>
      </c>
      <c r="AR52" s="127">
        <v>0</v>
      </c>
      <c r="AS52" s="127">
        <v>0</v>
      </c>
      <c r="AT52" s="127">
        <v>0</v>
      </c>
      <c r="AU52" s="127">
        <v>0</v>
      </c>
      <c r="AV52" s="127">
        <v>0</v>
      </c>
      <c r="AW52" s="127">
        <v>0</v>
      </c>
      <c r="AX52" s="128">
        <f t="shared" si="56"/>
        <v>0</v>
      </c>
      <c r="AY52" s="128">
        <f t="shared" si="57"/>
        <v>4000000</v>
      </c>
      <c r="AZ52" s="126">
        <v>4000000</v>
      </c>
      <c r="BA52" s="126">
        <f t="shared" si="58"/>
        <v>0</v>
      </c>
      <c r="BB52" s="183">
        <v>0</v>
      </c>
      <c r="BC52" s="183">
        <v>0</v>
      </c>
      <c r="BD52" s="183">
        <v>0</v>
      </c>
      <c r="BE52" s="183">
        <v>0</v>
      </c>
      <c r="BF52" s="183">
        <v>0</v>
      </c>
      <c r="BG52" s="183">
        <v>0</v>
      </c>
      <c r="BH52" s="183">
        <v>0</v>
      </c>
      <c r="BI52" s="183">
        <v>0</v>
      </c>
      <c r="BJ52" s="183">
        <v>0</v>
      </c>
      <c r="BK52" s="183">
        <v>0</v>
      </c>
      <c r="BL52" s="183">
        <v>0</v>
      </c>
      <c r="BM52" s="183">
        <v>0</v>
      </c>
      <c r="BN52" s="126" t="s">
        <v>235</v>
      </c>
      <c r="BO52" s="126">
        <f>AZ52+BA52</f>
        <v>4000000</v>
      </c>
      <c r="BP52" s="126">
        <f t="shared" si="59"/>
        <v>0</v>
      </c>
      <c r="BQ52" s="129">
        <f t="shared" si="60"/>
        <v>1</v>
      </c>
      <c r="BR52" s="130" t="s">
        <v>236</v>
      </c>
      <c r="BS52" s="94" t="s">
        <v>210</v>
      </c>
    </row>
    <row r="53" spans="1:253" ht="34" customHeight="1">
      <c r="A53" s="81"/>
      <c r="B53" s="138">
        <v>45</v>
      </c>
      <c r="C53" s="113" t="s">
        <v>237</v>
      </c>
      <c r="D53" s="114" t="s">
        <v>238</v>
      </c>
      <c r="E53" s="115" t="s">
        <v>239</v>
      </c>
      <c r="F53" s="116" t="s">
        <v>54</v>
      </c>
      <c r="G53" s="116" t="s">
        <v>55</v>
      </c>
      <c r="H53" s="116" t="s">
        <v>56</v>
      </c>
      <c r="I53" s="116" t="s">
        <v>47</v>
      </c>
      <c r="J53" s="116" t="s">
        <v>219</v>
      </c>
      <c r="K53" s="116" t="s">
        <v>47</v>
      </c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>
        <v>46050</v>
      </c>
      <c r="AE53" s="121">
        <v>0</v>
      </c>
      <c r="AF53" s="121">
        <v>0</v>
      </c>
      <c r="AG53" s="121">
        <v>0</v>
      </c>
      <c r="AH53" s="121">
        <v>0</v>
      </c>
      <c r="AI53" s="121">
        <v>0</v>
      </c>
      <c r="AJ53" s="121">
        <v>0</v>
      </c>
      <c r="AK53" s="121">
        <v>0</v>
      </c>
      <c r="AL53" s="121">
        <f t="shared" si="61"/>
        <v>0</v>
      </c>
      <c r="AM53" s="123">
        <v>0</v>
      </c>
      <c r="AN53" s="143">
        <v>46050</v>
      </c>
      <c r="AO53" s="125" t="s">
        <v>214</v>
      </c>
      <c r="AP53" s="169" t="s">
        <v>240</v>
      </c>
      <c r="AQ53" s="126">
        <v>296000</v>
      </c>
      <c r="AR53" s="127">
        <v>0</v>
      </c>
      <c r="AS53" s="127">
        <v>0</v>
      </c>
      <c r="AT53" s="127">
        <v>0</v>
      </c>
      <c r="AU53" s="127">
        <v>0</v>
      </c>
      <c r="AV53" s="127">
        <v>0</v>
      </c>
      <c r="AW53" s="127">
        <v>0</v>
      </c>
      <c r="AX53" s="128">
        <f t="shared" si="56"/>
        <v>0</v>
      </c>
      <c r="AY53" s="128">
        <f t="shared" si="57"/>
        <v>296000</v>
      </c>
      <c r="AZ53" s="126">
        <v>296000</v>
      </c>
      <c r="BA53" s="126">
        <f t="shared" si="58"/>
        <v>0</v>
      </c>
      <c r="BB53" s="183">
        <v>0</v>
      </c>
      <c r="BC53" s="183">
        <v>0</v>
      </c>
      <c r="BD53" s="183">
        <v>0</v>
      </c>
      <c r="BE53" s="183">
        <v>0</v>
      </c>
      <c r="BF53" s="183">
        <v>0</v>
      </c>
      <c r="BG53" s="183">
        <v>0</v>
      </c>
      <c r="BH53" s="183">
        <v>0</v>
      </c>
      <c r="BI53" s="183">
        <v>0</v>
      </c>
      <c r="BJ53" s="183">
        <v>0</v>
      </c>
      <c r="BK53" s="183">
        <v>0</v>
      </c>
      <c r="BL53" s="183">
        <v>0</v>
      </c>
      <c r="BM53" s="183">
        <v>0</v>
      </c>
      <c r="BN53" s="126" t="s">
        <v>2</v>
      </c>
      <c r="BO53" s="126">
        <f>AZ53+BA53</f>
        <v>296000</v>
      </c>
      <c r="BP53" s="126">
        <f t="shared" si="59"/>
        <v>0</v>
      </c>
      <c r="BQ53" s="129">
        <f t="shared" si="60"/>
        <v>1</v>
      </c>
      <c r="BR53" s="130"/>
      <c r="BS53" s="94"/>
    </row>
    <row r="54" spans="1:253" s="5" customFormat="1" ht="17.149999999999999" customHeight="1">
      <c r="A54" s="146"/>
      <c r="B54" s="147"/>
      <c r="C54" s="148" t="s">
        <v>241</v>
      </c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 t="s">
        <v>2</v>
      </c>
      <c r="AE54" s="148" t="s">
        <v>2</v>
      </c>
      <c r="AF54" s="148" t="s">
        <v>2</v>
      </c>
      <c r="AG54" s="148" t="s">
        <v>2</v>
      </c>
      <c r="AH54" s="148" t="s">
        <v>2</v>
      </c>
      <c r="AI54" s="148" t="s">
        <v>2</v>
      </c>
      <c r="AJ54" s="148" t="s">
        <v>2</v>
      </c>
      <c r="AK54" s="148" t="s">
        <v>2</v>
      </c>
      <c r="AL54" s="148" t="s">
        <v>2</v>
      </c>
      <c r="AM54" s="148" t="s">
        <v>2</v>
      </c>
      <c r="AN54" s="148" t="s">
        <v>2</v>
      </c>
      <c r="AO54" s="148" t="s">
        <v>2</v>
      </c>
      <c r="AP54" s="171" t="s">
        <v>2</v>
      </c>
      <c r="AQ54" s="148">
        <f>SUM(AQ5:AQ53)-SUM(AQ20:AQ23)-AQ5-AQ7-AQ12-AQ11</f>
        <v>288883707.36999995</v>
      </c>
      <c r="AR54" s="148" t="s">
        <v>2</v>
      </c>
      <c r="AS54" s="148" t="s">
        <v>2</v>
      </c>
      <c r="AT54" s="148" t="s">
        <v>2</v>
      </c>
      <c r="AU54" s="148" t="s">
        <v>2</v>
      </c>
      <c r="AV54" s="148" t="s">
        <v>2</v>
      </c>
      <c r="AW54" s="148" t="s">
        <v>2</v>
      </c>
      <c r="AX54" s="148">
        <f>SUM(AX5:AX53)-SUM(AX20:AX23)-AX5-AX7-AX12-AX11</f>
        <v>67352968.689999983</v>
      </c>
      <c r="AY54" s="148">
        <f>SUM(AY5:AY53)-SUM(AY20:AY23)-AY5-AY7-AY12-AY11</f>
        <v>356236676.05999994</v>
      </c>
      <c r="AZ54" s="148">
        <f>SUM(AZ5:AZ53)-SUM(AZ20:AZ23)-AZ5-AZ7-AZ12-AZ11</f>
        <v>134615283.37</v>
      </c>
      <c r="BA54" s="148">
        <f>SUM(BA5:BA53)-SUM(BA20:BA23)-BA5-BA7-BA12-BA11</f>
        <v>22458821.550000004</v>
      </c>
      <c r="BB54" s="148">
        <f>SUM(BB5:BB53)-SUM(BB20:BB23)-BB5-BB7-BB12-BB11</f>
        <v>5376730.2399999993</v>
      </c>
      <c r="BC54" s="148">
        <f>SUM(BC5:BC53)-SUM(BC20:BC23)-BC5-BC7-BC12-BC11</f>
        <v>4784144.629999999</v>
      </c>
      <c r="BD54" s="148">
        <f>SUM(BD5:BD53)-SUM(BD20:BD23)-BD5-BD7-BD12-BD11</f>
        <v>4996524.5999999996</v>
      </c>
      <c r="BE54" s="148">
        <f>SUM(BE5:BE53)-SUM(BE20:BE23)-BE5-BE7-BE12-BE11</f>
        <v>4415322.79</v>
      </c>
      <c r="BF54" s="148">
        <f>SUM(BF5:BF53)-SUM(BF20:BF23)-BF5-BF7-BF12-BF11</f>
        <v>2551967.4300000002</v>
      </c>
      <c r="BG54" s="148">
        <f>SUM(BG5:BG53)-SUM(BG20:BG23)-BG5-BG7-BG12-BG11</f>
        <v>51290.12</v>
      </c>
      <c r="BH54" s="148">
        <f>SUM(BH5:BH53)-SUM(BH20:BH23)-BH5-BH7-BH12-BH11</f>
        <v>0</v>
      </c>
      <c r="BI54" s="148">
        <f>SUM(BI5:BI53)-SUM(BI20:BI23)-BI5-BI7-BI12-BI11</f>
        <v>0</v>
      </c>
      <c r="BJ54" s="148">
        <f>SUM(BJ5:BJ53)-SUM(BJ20:BJ23)-BJ5-BJ7-BJ12-BJ11</f>
        <v>0</v>
      </c>
      <c r="BK54" s="148">
        <f>SUM(BK5:BK53)-SUM(BK20:BK23)-BK5-BK7-BK12-BK11</f>
        <v>282841.74</v>
      </c>
      <c r="BL54" s="148">
        <f>SUM(BL5:BL53)-SUM(BL20:BL23)-BL5-BL7-BL12-BL11</f>
        <v>0</v>
      </c>
      <c r="BM54" s="148">
        <f>SUM(BM5:BM53)-SUM(BM20:BM23)-BM5-BM7-BM12-BM11</f>
        <v>0</v>
      </c>
      <c r="BN54" s="148">
        <v>0</v>
      </c>
      <c r="BO54" s="148">
        <f>SUM(BO5:BO53)-SUM(BO20:BO23)-BO5-BO7-BO12-BO11</f>
        <v>157074104.91999999</v>
      </c>
      <c r="BP54" s="148">
        <f>SUM(BP5:BP53)-SUM(BP20:BP23)-BP5-BP7-BP12-BP11</f>
        <v>199162571.13999996</v>
      </c>
      <c r="BQ54" s="149">
        <f t="shared" si="60"/>
        <v>0.44092625907374128</v>
      </c>
      <c r="BR54" s="15"/>
      <c r="BS54" s="94"/>
      <c r="BT54" s="13"/>
      <c r="BU54" s="13"/>
      <c r="BV54" s="2"/>
      <c r="BW54" s="2"/>
      <c r="BX54" s="2"/>
      <c r="BY54" s="2"/>
      <c r="BZ54" s="150"/>
      <c r="CA54" s="150"/>
      <c r="CB54" s="150"/>
      <c r="CC54" s="150"/>
      <c r="CD54" s="150"/>
      <c r="CE54" s="150"/>
      <c r="CF54" s="150"/>
      <c r="CG54" s="150"/>
      <c r="CH54" s="150"/>
      <c r="CI54" s="150"/>
      <c r="CJ54" s="150"/>
      <c r="CK54" s="150"/>
      <c r="CL54" s="150"/>
      <c r="CM54" s="150"/>
      <c r="CN54" s="150"/>
      <c r="CO54" s="150"/>
      <c r="CP54" s="150"/>
      <c r="CQ54" s="150"/>
      <c r="CR54" s="150"/>
      <c r="CS54" s="150"/>
      <c r="CT54" s="150"/>
      <c r="CU54" s="150"/>
      <c r="CV54" s="150"/>
      <c r="CW54" s="150"/>
      <c r="CX54" s="150"/>
      <c r="CY54" s="150"/>
      <c r="CZ54" s="150"/>
      <c r="DA54" s="150"/>
      <c r="DB54" s="150"/>
      <c r="DC54" s="150"/>
      <c r="DD54" s="150"/>
      <c r="DE54" s="150"/>
      <c r="DF54" s="150"/>
      <c r="DG54" s="150"/>
      <c r="DH54" s="150"/>
      <c r="DI54" s="150"/>
      <c r="DJ54" s="150"/>
      <c r="DK54" s="150"/>
      <c r="DL54" s="150"/>
      <c r="DM54" s="150"/>
      <c r="DN54" s="150"/>
      <c r="DO54" s="150"/>
      <c r="DP54" s="150"/>
      <c r="DQ54" s="150"/>
      <c r="DR54" s="150"/>
      <c r="DS54" s="150"/>
      <c r="DT54" s="150"/>
      <c r="DU54" s="150"/>
      <c r="DV54" s="150"/>
      <c r="DW54" s="150"/>
      <c r="DX54" s="150"/>
      <c r="DY54" s="150"/>
      <c r="DZ54" s="150"/>
      <c r="EA54" s="150"/>
      <c r="EB54" s="150"/>
      <c r="EC54" s="150"/>
      <c r="ED54" s="150"/>
      <c r="EE54" s="150"/>
      <c r="EF54" s="150"/>
      <c r="EG54" s="150"/>
      <c r="EH54" s="150"/>
      <c r="EI54" s="150"/>
      <c r="EJ54" s="150"/>
      <c r="EK54" s="150"/>
      <c r="EL54" s="150"/>
      <c r="EM54" s="150"/>
      <c r="EN54" s="150"/>
      <c r="EO54" s="150"/>
      <c r="EP54" s="150"/>
      <c r="EQ54" s="150"/>
      <c r="ER54" s="150"/>
      <c r="ES54" s="150"/>
      <c r="ET54" s="150"/>
      <c r="EU54" s="150"/>
      <c r="EV54" s="150"/>
      <c r="EW54" s="150"/>
      <c r="EX54" s="150"/>
      <c r="EY54" s="150"/>
      <c r="EZ54" s="150"/>
      <c r="FA54" s="150"/>
      <c r="FB54" s="150"/>
      <c r="FC54" s="150"/>
      <c r="FD54" s="150"/>
      <c r="FE54" s="150"/>
      <c r="FF54" s="150"/>
      <c r="FG54" s="150"/>
      <c r="FH54" s="150"/>
      <c r="FI54" s="150"/>
      <c r="FJ54" s="150"/>
      <c r="FK54" s="150"/>
      <c r="FL54" s="150"/>
      <c r="FM54" s="150"/>
      <c r="FN54" s="150"/>
      <c r="FO54" s="150"/>
      <c r="FP54" s="150"/>
      <c r="FQ54" s="150"/>
      <c r="FR54" s="150"/>
      <c r="FS54" s="150"/>
      <c r="FT54" s="150"/>
      <c r="FU54" s="150"/>
      <c r="FV54" s="150"/>
      <c r="FW54" s="150"/>
      <c r="FX54" s="150"/>
      <c r="FY54" s="150"/>
      <c r="FZ54" s="150"/>
      <c r="GA54" s="150"/>
      <c r="GB54" s="150"/>
      <c r="GC54" s="150"/>
      <c r="GD54" s="150"/>
      <c r="GE54" s="150"/>
      <c r="GF54" s="150"/>
      <c r="GG54" s="150"/>
      <c r="GH54" s="150"/>
      <c r="GI54" s="150"/>
      <c r="GJ54" s="150"/>
      <c r="GK54" s="150"/>
      <c r="GL54" s="150"/>
      <c r="GM54" s="150"/>
      <c r="GN54" s="150"/>
      <c r="GO54" s="150"/>
      <c r="GP54" s="150"/>
      <c r="GQ54" s="150"/>
      <c r="GR54" s="150"/>
      <c r="GS54" s="150"/>
      <c r="GT54" s="150"/>
      <c r="GU54" s="150"/>
      <c r="GV54" s="150"/>
      <c r="GW54" s="150"/>
      <c r="GX54" s="150"/>
      <c r="GY54" s="150"/>
      <c r="GZ54" s="150"/>
      <c r="HA54" s="150"/>
      <c r="HB54" s="150"/>
      <c r="HC54" s="150"/>
      <c r="HD54" s="150"/>
      <c r="HE54" s="150"/>
      <c r="HF54" s="150"/>
      <c r="HG54" s="150"/>
      <c r="HH54" s="150"/>
      <c r="HI54" s="150"/>
      <c r="HJ54" s="150"/>
      <c r="HK54" s="150"/>
      <c r="HL54" s="150"/>
      <c r="HM54" s="150"/>
      <c r="HN54" s="150"/>
      <c r="HO54" s="150"/>
      <c r="HP54" s="150"/>
      <c r="HQ54" s="150"/>
      <c r="HR54" s="150"/>
      <c r="HS54" s="150"/>
      <c r="HT54" s="150"/>
      <c r="HU54" s="150"/>
      <c r="HV54" s="150"/>
      <c r="HW54" s="150"/>
      <c r="HX54" s="150"/>
      <c r="HY54" s="150"/>
      <c r="HZ54" s="150"/>
      <c r="IA54" s="150"/>
      <c r="IB54" s="150"/>
      <c r="IC54" s="150"/>
      <c r="ID54" s="150"/>
      <c r="IE54" s="150"/>
      <c r="IF54" s="150"/>
      <c r="IG54" s="150"/>
      <c r="IH54" s="150"/>
      <c r="II54" s="150"/>
      <c r="IJ54" s="150"/>
      <c r="IK54" s="150"/>
      <c r="IL54" s="150"/>
      <c r="IM54" s="150"/>
      <c r="IN54" s="150"/>
      <c r="IO54" s="150"/>
      <c r="IP54" s="150"/>
      <c r="IQ54" s="150"/>
      <c r="IR54" s="150"/>
      <c r="IS54" s="151"/>
    </row>
    <row r="55" spans="1:253" ht="4.5" customHeight="1"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  <c r="AH55" s="152"/>
      <c r="AI55" s="152"/>
      <c r="AJ55" s="152"/>
      <c r="AK55" s="152"/>
      <c r="AL55" s="152"/>
      <c r="AM55" s="152"/>
      <c r="AN55" s="152"/>
      <c r="AO55" s="152"/>
      <c r="AP55" s="172"/>
      <c r="AQ55" s="152"/>
      <c r="AR55" s="153"/>
      <c r="AS55" s="152"/>
      <c r="AT55" s="152"/>
      <c r="AU55" s="152"/>
      <c r="AV55" s="152"/>
      <c r="AW55" s="152"/>
      <c r="AX55" s="152"/>
      <c r="AY55" s="152"/>
      <c r="AZ55" s="152"/>
      <c r="BA55" s="152"/>
      <c r="BB55" s="172"/>
      <c r="BC55" s="172"/>
      <c r="BD55" s="172"/>
      <c r="BE55" s="172"/>
      <c r="BF55" s="172"/>
      <c r="BG55" s="172"/>
      <c r="BH55" s="172"/>
      <c r="BI55" s="172"/>
      <c r="BJ55" s="172"/>
      <c r="BK55" s="172"/>
      <c r="BL55" s="172"/>
      <c r="BM55" s="172"/>
      <c r="BN55" s="152"/>
      <c r="BO55" s="152"/>
      <c r="BP55" s="152"/>
      <c r="BQ55" s="152"/>
    </row>
    <row r="56" spans="1:253" ht="25" customHeight="1">
      <c r="B56"/>
      <c r="C56"/>
      <c r="D56" s="154" t="s">
        <v>2</v>
      </c>
      <c r="E56"/>
      <c r="F56" t="s">
        <v>2</v>
      </c>
      <c r="G56" t="s">
        <v>2</v>
      </c>
      <c r="H56" t="s">
        <v>2</v>
      </c>
      <c r="I56" t="s">
        <v>2</v>
      </c>
      <c r="J56" t="s">
        <v>2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 s="173"/>
      <c r="AQ56"/>
      <c r="AR56"/>
      <c r="AS56"/>
      <c r="AT56"/>
      <c r="AU56"/>
      <c r="AV56"/>
      <c r="AW56"/>
      <c r="AX56"/>
      <c r="AY56" s="155">
        <f>AY6+AY36+AY8+AY9+AY10+AY13+AY14+AY15+AY16+AY17+AY18+AY19+[1]Planilha1!AY14+AY24+AY25+AY26+AY27+AY28+AY29+AY30+AY31+AY32+AY33+AY34+AY35+AY37+AY38+AY39+AY40+AY41+AY42+AY43+AY44+AY45+AY47+AY48+[1]Planilha1!AY15</f>
        <v>293137908.5</v>
      </c>
      <c r="AZ56" s="155">
        <f>AZ6+AZ36+AZ8+AZ9+AZ10+AZ13+AZ14+AZ15+AZ16+AZ17+AZ18+AZ19+[1]Planilha1!AZ14+AZ24+AZ25+AZ26+AZ27+AZ28+AZ29+AZ30+AZ31+AZ32+AZ33+AZ34+AZ35+AZ37+AZ38+AZ39+AZ40+AZ41+AZ42+AZ43+AZ44+AZ45+AZ47+AZ48+[1]Planilha1!AZ15</f>
        <v>80567976.790000007</v>
      </c>
      <c r="BA56" s="155">
        <f>BA6+BA36+BA8+BA9+BA10+BA13+BA14+BA15+BA16+BA17+BA18+BA19+[1]Planilha1!BA14+BA24+BA25+BA26+BA27+BA28+BA29+BA30+BA31+BA32+BA33+BA34+BA35+BA37+BA38+BA39+BA40+BA41+BA42+BA43+BA44+BA45+BA47+BA48+[1]Planilha1!BA15</f>
        <v>22383153.710000001</v>
      </c>
      <c r="BB56" s="155">
        <f>BB6+BB36+BB8+BB9+BB10+BB13+BB14+BB15+BB16+BB17+BB18+BB19+[1]Planilha1!BB14+BB24+BB25+BB26+BB27+BB28+BB29+BB30+BB31+BB32+BB33+BB34+BB35+BB37+BB38+BB39+BB40+BB41+BB42+BB43+BB44+BB45+BB47+BB48+[1]Planilha1!BB15</f>
        <v>5329932.5499999989</v>
      </c>
      <c r="BC56" s="155">
        <f>BC6+BC36+BC8+BC9+BC10+BC13+BC14+BC15+BC16+BC17+BC18+BC19+[1]Planilha1!BC14+BC24+BC25+BC26+BC27+BC28+BC29+BC30+BC31+BC32+BC33+BC34+BC35+BC37+BC38+BC39+BC40+BC41+BC42+BC43+BC44+BC45+BC47+BC48+[1]Planilha1!BC15</f>
        <v>4768284.0499999989</v>
      </c>
      <c r="BD56" s="155">
        <f>BD6+BD36+BD8+BD9+BD10+BD13+BD14+BD15+BD16+BD17+BD18+BD19+[1]Planilha1!BD14+BD24+BD25+BD26+BD27+BD28+BD29+BD30+BD31+BD32+BD33+BD34+BD35+BD37+BD38+BD39+BD40+BD41+BD42+BD43+BD44+BD45+BD47+BD48+[1]Planilha1!BD15</f>
        <v>4986319.8900000006</v>
      </c>
      <c r="BE56" s="155">
        <f>BE6+BE36+BE8+BE9+BE10+BE13+BE14+BE15+BE16+BE17+BE18+BE19+[1]Planilha1!BE14+BE24+BE25+BE26+BE27+BE28+BE29+BE30+BE31+BE32+BE33+BE34+BE35+BE37+BE38+BE39+BE40+BE41+BE42+BE43+BE44+BE45+BE47+BE48+[1]Planilha1!BE15</f>
        <v>4404090.05</v>
      </c>
      <c r="BF56" s="155">
        <f>BF6+BF36+BF8+BF9+BF10+BF13+BF14+BF15+BF16+BF17+BF18+BF19+[1]Planilha1!BF14+BF24+BF25+BF26+BF27+BF28+BF29+BF30+BF31+BF32+BF33+BF34+BF35+BF37+BF38+BF39+BF40+BF41+BF42+BF43+BF44+BF45+BF47+BF48+[1]Planilha1!BF15</f>
        <v>2611685.4300000002</v>
      </c>
      <c r="BG56" s="155">
        <f>BG6+BG36+BG8+BG9+BG10+BG13+BG14+BG15+BG16+BG17+BG18+BG19+[1]Planilha1!BG14+BG24+BG25+BG26+BG27+BG28+BG29+BG30+BG31+BG32+BG33+BG34+BG35+BG37+BG38+BG39+BG40+BG41+BG42+BG43+BG44+BG45+BG47+BG48+[1]Planilha1!BG15</f>
        <v>0</v>
      </c>
      <c r="BH56" s="155">
        <f>BH6+BH36+BH8+BH9+BH10+BH13+BH14+BH15+BH16+BH17+BH18+BH19+[1]Planilha1!BH14+BH24+BH25+BH26+BH27+BH28+BH29+BH30+BH31+BH32+BH33+BH34+BH35+BH37+BH38+BH39+BH40+BH41+BH42+BH43+BH44+BH45+BH47+BH48+[1]Planilha1!BH15</f>
        <v>0</v>
      </c>
      <c r="BI56" s="155">
        <f>BI6+BI36+BI8+BI9+BI10+BI13+BI14+BI15+BI16+BI17+BI18+BI19+[1]Planilha1!BI14+BI24+BI25+BI26+BI27+BI28+BI29+BI30+BI31+BI32+BI33+BI34+BI35+BI37+BI38+BI39+BI40+BI41+BI42+BI43+BI44+BI45+BI47+BI48+[1]Planilha1!BI15</f>
        <v>0</v>
      </c>
      <c r="BJ56" s="155">
        <f>BJ6+BJ36+BJ8+BJ9+BJ10+BJ13+BJ14+BJ15+BJ16+BJ17+BJ18+BJ19+[1]Planilha1!BJ14+BJ24+BJ25+BJ26+BJ27+BJ28+BJ29+BJ30+BJ31+BJ32+BJ33+BJ34+BJ35+BJ37+BJ38+BJ39+BJ40+BJ41+BJ42+BJ43+BJ44+BJ45+BJ47+BJ48+[1]Planilha1!BJ15</f>
        <v>0</v>
      </c>
      <c r="BK56" s="155">
        <f>BK6+BK36+BK8+BK9+BK10+BK13+BK14+BK15+BK16+BK17+BK18+BK19+[1]Planilha1!BK14+BK24+BK25+BK26+BK27+BK28+BK29+BK30+BK31+BK32+BK33+BK34+BK35+BK37+BK38+BK39+BK40+BK41+BK42+BK43+BK44+BK45+BK47+BK48+[1]Planilha1!BK15</f>
        <v>282841.74</v>
      </c>
      <c r="BL56" s="155">
        <f>BL6+BL36+BL8+BL9+BL10+BL13+BL14+BL15+BL16+BL17+BL18+BL19+[1]Planilha1!BL14+BL24+BL25+BL26+BL27+BL28+BL29+BL30+BL31+BL32+BL33+BL34+BL35+BL37+BL38+BL39+BL40+BL41+BL42+BL43+BL44+BL45+BL47+BL48+[1]Planilha1!BL15</f>
        <v>0</v>
      </c>
      <c r="BM56" s="155">
        <f>BM6+BM36+BM8+BM9+BM10+BM13+BM14+BM15+BM16+BM17+BM18+BM19+[1]Planilha1!BM14+BM24+BM25+BM26+BM27+BM28+BM29+BM30+BM31+BM32+BM33+BM34+BM35+BM37+BM38+BM39+BM40+BM41+BM42+BM43+BM44+BM45+BM47+BM48+[1]Planilha1!BM15</f>
        <v>0</v>
      </c>
      <c r="BN56"/>
      <c r="BO56" s="155">
        <f>BO6+BO36+BO8+BO9+BO10+BO13+BO14+BO15+BO16+BO17+BO18+BO19+[1]Planilha1!BO14+BO24+BO25+BO26+BO27+BO28+BO29+BO30+BO31+BO32+BO33+BO34+BO35+BO37+BO38+BO39+BO40+BO41+BO42+BO43+BO44+BO45+BO47+BO48+[1]Planilha1!BO15</f>
        <v>102951130.49999999</v>
      </c>
      <c r="BP56"/>
      <c r="BQ56"/>
    </row>
    <row r="57" spans="1:253" ht="25" customHeight="1">
      <c r="B57"/>
      <c r="C57"/>
      <c r="D57"/>
      <c r="E57" t="s">
        <v>2</v>
      </c>
      <c r="F57" t="s">
        <v>2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 s="156" t="s">
        <v>2</v>
      </c>
      <c r="AE57" s="156" t="s">
        <v>2</v>
      </c>
      <c r="AF57"/>
      <c r="AG57"/>
      <c r="AH57"/>
      <c r="AI57"/>
      <c r="AJ57"/>
      <c r="AK57"/>
      <c r="AL57" s="156" t="s">
        <v>2</v>
      </c>
      <c r="AM57" s="156" t="s">
        <v>2</v>
      </c>
      <c r="AN57" s="156" t="s">
        <v>2</v>
      </c>
      <c r="AO57"/>
      <c r="AP57" s="173"/>
      <c r="AQ57"/>
      <c r="AR57"/>
      <c r="AS57"/>
      <c r="AT57"/>
      <c r="AU57"/>
      <c r="AV57"/>
      <c r="AW57"/>
      <c r="AX57"/>
      <c r="AY57" s="159" t="s">
        <v>2</v>
      </c>
      <c r="AZ57"/>
      <c r="BA57"/>
      <c r="BB57" s="173"/>
      <c r="BC57" s="173"/>
      <c r="BD57" s="173"/>
      <c r="BE57" s="173"/>
      <c r="BF57" s="173"/>
      <c r="BG57" s="173"/>
      <c r="BH57" s="173"/>
      <c r="BI57" s="173"/>
      <c r="BJ57" s="173"/>
      <c r="BK57" s="173"/>
      <c r="BL57" s="173"/>
      <c r="BM57" s="173"/>
      <c r="BN57"/>
      <c r="BO57"/>
      <c r="BP57"/>
      <c r="BQ57"/>
    </row>
    <row r="58" spans="1:253" ht="25" customHeight="1">
      <c r="B58"/>
      <c r="C58"/>
      <c r="E58" s="2" t="s">
        <v>2</v>
      </c>
      <c r="F58" s="2" t="s">
        <v>2</v>
      </c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 s="173"/>
      <c r="AQ58"/>
      <c r="AR58"/>
      <c r="AS58"/>
      <c r="AT58"/>
      <c r="AU58"/>
      <c r="AV58"/>
      <c r="AW58"/>
      <c r="AX58"/>
      <c r="AY58"/>
      <c r="AZ58"/>
      <c r="BA58"/>
      <c r="BB58" s="173" t="s">
        <v>2</v>
      </c>
      <c r="BC58" s="173"/>
      <c r="BD58" s="173"/>
      <c r="BE58" s="173"/>
      <c r="BF58" s="173"/>
      <c r="BG58" s="173"/>
      <c r="BH58" s="173"/>
      <c r="BI58" s="173"/>
      <c r="BJ58" s="173"/>
      <c r="BK58" s="173"/>
      <c r="BL58" s="173"/>
      <c r="BM58" s="173"/>
      <c r="BN58"/>
      <c r="BO58" s="155" t="s">
        <v>2</v>
      </c>
      <c r="BP58"/>
      <c r="BQ58"/>
    </row>
    <row r="59" spans="1:253" ht="25" customHeight="1">
      <c r="B59"/>
      <c r="C59"/>
      <c r="E59" s="2" t="s">
        <v>2</v>
      </c>
      <c r="F59" s="2" t="s">
        <v>2</v>
      </c>
      <c r="G59" s="2" t="s">
        <v>2</v>
      </c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57" t="s">
        <v>2</v>
      </c>
      <c r="AD59"/>
      <c r="AE59"/>
      <c r="AF59"/>
      <c r="AG59"/>
      <c r="AH59"/>
      <c r="AI59"/>
      <c r="AJ59"/>
      <c r="AK59"/>
      <c r="AL59"/>
      <c r="AM59"/>
      <c r="AN59"/>
      <c r="AO59"/>
      <c r="AP59" s="173"/>
      <c r="AQ59"/>
      <c r="AR59"/>
      <c r="AS59"/>
      <c r="AT59"/>
      <c r="AU59"/>
      <c r="AV59"/>
      <c r="AW59"/>
      <c r="AX59"/>
      <c r="AY59"/>
      <c r="AZ59"/>
      <c r="BA59" s="155" t="s">
        <v>2</v>
      </c>
      <c r="BB59" s="173" t="s">
        <v>2</v>
      </c>
      <c r="BC59" s="173"/>
      <c r="BD59" s="173"/>
      <c r="BE59" s="173"/>
      <c r="BF59" s="173"/>
      <c r="BG59" s="173"/>
      <c r="BH59" s="173"/>
      <c r="BI59" s="173"/>
      <c r="BJ59" s="173"/>
      <c r="BK59" s="173"/>
      <c r="BL59" s="173"/>
      <c r="BM59" s="173"/>
      <c r="BN59"/>
      <c r="BO59"/>
      <c r="BP59"/>
      <c r="BQ59"/>
    </row>
    <row r="60" spans="1:253" ht="25" customHeight="1">
      <c r="B60"/>
      <c r="C60"/>
      <c r="E60" s="2" t="s">
        <v>2</v>
      </c>
      <c r="F60" s="2" t="s">
        <v>2</v>
      </c>
      <c r="G60" s="2" t="s">
        <v>2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 s="173"/>
      <c r="AQ60"/>
      <c r="AR60"/>
      <c r="AS60"/>
      <c r="AT60"/>
      <c r="AU60"/>
      <c r="AV60"/>
      <c r="AW60"/>
      <c r="AX60"/>
      <c r="AY60"/>
      <c r="AZ60"/>
      <c r="BA60"/>
      <c r="BB60" s="173"/>
      <c r="BC60" s="173"/>
      <c r="BD60" s="173"/>
      <c r="BE60" s="173"/>
      <c r="BF60" s="173"/>
      <c r="BG60" s="173"/>
      <c r="BH60" s="173"/>
      <c r="BI60" s="173"/>
      <c r="BJ60" s="173"/>
      <c r="BK60" s="173"/>
      <c r="BL60" s="173"/>
      <c r="BM60" s="173"/>
      <c r="BN60"/>
      <c r="BO60"/>
      <c r="BP60"/>
      <c r="BQ60"/>
    </row>
    <row r="61" spans="1:253" ht="25" customHeight="1">
      <c r="B61"/>
      <c r="C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 s="173"/>
      <c r="AQ61"/>
      <c r="AR61"/>
      <c r="AS61"/>
      <c r="AT61"/>
      <c r="AU61"/>
      <c r="AV61"/>
      <c r="AW61"/>
      <c r="AX61"/>
      <c r="AY61"/>
      <c r="AZ61"/>
      <c r="BA61"/>
      <c r="BB61" s="173"/>
      <c r="BC61" s="173"/>
      <c r="BD61" s="173"/>
      <c r="BE61" s="173"/>
      <c r="BF61" s="173"/>
      <c r="BG61" s="173"/>
      <c r="BH61" s="173"/>
      <c r="BI61" s="173"/>
      <c r="BJ61" s="173"/>
      <c r="BK61" s="173"/>
      <c r="BL61" s="173"/>
      <c r="BM61" s="173"/>
      <c r="BN61"/>
      <c r="BO61"/>
      <c r="BP61"/>
      <c r="BQ61"/>
    </row>
    <row r="62" spans="1:253" ht="25" customHeight="1">
      <c r="B62"/>
      <c r="C62"/>
      <c r="E62" s="2" t="s">
        <v>2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 s="173"/>
      <c r="AQ62"/>
      <c r="AR62"/>
      <c r="AS62"/>
      <c r="AT62"/>
      <c r="AU62"/>
      <c r="AV62"/>
      <c r="AW62"/>
      <c r="AX62"/>
      <c r="AY62"/>
      <c r="AZ62"/>
      <c r="BA62"/>
      <c r="BB62" s="173"/>
      <c r="BC62" s="173"/>
      <c r="BD62" s="173"/>
      <c r="BE62" s="173"/>
      <c r="BF62" s="173"/>
      <c r="BG62" s="173"/>
      <c r="BH62" s="173"/>
      <c r="BI62" s="173"/>
      <c r="BJ62" s="173"/>
      <c r="BK62" s="173"/>
      <c r="BL62" s="173"/>
      <c r="BM62" s="173"/>
      <c r="BN62"/>
      <c r="BO62"/>
      <c r="BP62"/>
      <c r="BQ62"/>
    </row>
    <row r="63" spans="1:253" ht="25" customHeight="1">
      <c r="B63"/>
      <c r="C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 s="173"/>
      <c r="AQ63"/>
      <c r="AR63"/>
      <c r="AS63"/>
      <c r="AT63"/>
      <c r="AU63"/>
      <c r="AV63"/>
      <c r="AW63"/>
      <c r="AX63"/>
      <c r="AY63"/>
      <c r="AZ63"/>
      <c r="BA63"/>
      <c r="BB63" s="173"/>
      <c r="BC63" s="173"/>
      <c r="BD63" s="173"/>
      <c r="BE63" s="173"/>
      <c r="BF63" s="173"/>
      <c r="BG63" s="173"/>
      <c r="BH63" s="173"/>
      <c r="BI63" s="173"/>
      <c r="BJ63" s="173"/>
      <c r="BK63" s="173"/>
      <c r="BL63" s="173"/>
      <c r="BM63" s="173"/>
      <c r="BN63"/>
      <c r="BO63"/>
      <c r="BP63" s="158" t="s">
        <v>2</v>
      </c>
      <c r="BQ63"/>
    </row>
    <row r="64" spans="1:253" ht="25" customHeight="1">
      <c r="B64"/>
      <c r="C64"/>
      <c r="E64" s="2" t="s">
        <v>2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 s="173"/>
      <c r="AQ64"/>
      <c r="AR64"/>
      <c r="AS64"/>
      <c r="AT64"/>
      <c r="AU64"/>
      <c r="AV64"/>
      <c r="AW64"/>
      <c r="AX64"/>
      <c r="AY64"/>
      <c r="AZ64"/>
      <c r="BA64"/>
      <c r="BB64" s="173"/>
      <c r="BC64" s="173"/>
      <c r="BD64" s="173"/>
      <c r="BE64" s="173"/>
      <c r="BF64" s="173"/>
      <c r="BG64" s="173"/>
      <c r="BH64" s="173"/>
      <c r="BI64" s="173"/>
      <c r="BJ64" s="173"/>
      <c r="BK64" s="173"/>
      <c r="BL64" s="173"/>
      <c r="BM64" s="173"/>
      <c r="BN64"/>
      <c r="BO64"/>
      <c r="BP64" s="159" t="s">
        <v>2</v>
      </c>
      <c r="BQ64"/>
    </row>
    <row r="65" spans="2:69" ht="25" customHeight="1">
      <c r="B65"/>
      <c r="C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 s="173"/>
      <c r="AQ65"/>
      <c r="AR65"/>
      <c r="AS65"/>
      <c r="AT65"/>
      <c r="AU65"/>
      <c r="AV65"/>
      <c r="AW65"/>
      <c r="AX65"/>
      <c r="AY65"/>
      <c r="AZ65"/>
      <c r="BA65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3"/>
      <c r="BM65" s="173"/>
      <c r="BN65"/>
      <c r="BO65"/>
      <c r="BP65"/>
      <c r="BQ65"/>
    </row>
    <row r="66" spans="2:69" ht="25" customHeight="1">
      <c r="B66"/>
      <c r="C66"/>
      <c r="E66" s="2" t="s">
        <v>2</v>
      </c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 s="173"/>
      <c r="AQ66"/>
      <c r="AR66"/>
      <c r="AS66"/>
      <c r="AT66"/>
      <c r="AU66"/>
      <c r="AV66"/>
      <c r="AW66"/>
      <c r="AX66"/>
      <c r="AY66"/>
      <c r="AZ66"/>
      <c r="BA66"/>
      <c r="BB66" s="173"/>
      <c r="BC66" s="173"/>
      <c r="BD66" s="173"/>
      <c r="BE66" s="173"/>
      <c r="BF66" s="173"/>
      <c r="BG66" s="173"/>
      <c r="BH66" s="173"/>
      <c r="BI66" s="173"/>
      <c r="BJ66" s="173"/>
      <c r="BK66" s="173"/>
      <c r="BL66" s="173"/>
      <c r="BM66" s="173"/>
      <c r="BN66"/>
      <c r="BO66"/>
      <c r="BP66"/>
      <c r="BQ66"/>
    </row>
    <row r="67" spans="2:69" ht="25" customHeight="1">
      <c r="B67"/>
      <c r="C67"/>
      <c r="I67"/>
      <c r="J67"/>
      <c r="K67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/>
      <c r="AD67" s="155" t="s">
        <v>2</v>
      </c>
      <c r="AE67" s="155" t="s">
        <v>2</v>
      </c>
      <c r="AF67"/>
      <c r="AG67"/>
      <c r="AH67"/>
      <c r="AI67"/>
      <c r="AJ67"/>
      <c r="AK67"/>
      <c r="AL67" s="155" t="s">
        <v>2</v>
      </c>
      <c r="AM67" s="155" t="s">
        <v>2</v>
      </c>
      <c r="AN67" s="155" t="s">
        <v>2</v>
      </c>
      <c r="AO67"/>
      <c r="AP67" s="173"/>
      <c r="AQ67"/>
      <c r="AR67"/>
      <c r="AS67"/>
      <c r="AT67"/>
      <c r="AU67"/>
      <c r="AV67"/>
      <c r="AW67"/>
      <c r="AX67"/>
      <c r="AY67"/>
      <c r="AZ67"/>
      <c r="BA67"/>
      <c r="BB67" s="173"/>
      <c r="BC67" s="173"/>
      <c r="BD67" s="173"/>
      <c r="BE67" s="173"/>
      <c r="BF67" s="173"/>
      <c r="BG67" s="173"/>
      <c r="BH67" s="173"/>
      <c r="BI67" s="173"/>
      <c r="BJ67" s="173"/>
      <c r="BK67" s="173"/>
      <c r="BL67" s="173"/>
      <c r="BM67" s="173"/>
      <c r="BN67"/>
      <c r="BO67"/>
      <c r="BP67"/>
      <c r="BQ67"/>
    </row>
    <row r="68" spans="2:69" ht="25" customHeight="1">
      <c r="B68"/>
      <c r="C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 s="173"/>
      <c r="AQ68"/>
      <c r="AR68"/>
      <c r="AS68"/>
      <c r="AT68"/>
      <c r="AU68"/>
      <c r="AV68"/>
      <c r="AW68"/>
      <c r="AX68"/>
      <c r="AY68"/>
      <c r="AZ68"/>
      <c r="BA68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3"/>
      <c r="BM68" s="173"/>
      <c r="BN68"/>
      <c r="BO68"/>
      <c r="BP68"/>
      <c r="BQ68"/>
    </row>
    <row r="69" spans="2:69" ht="25" customHeight="1">
      <c r="B69"/>
      <c r="C69"/>
      <c r="I69"/>
      <c r="J69"/>
      <c r="K69"/>
      <c r="L69" s="156"/>
      <c r="M69" s="156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156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 s="173"/>
      <c r="AQ69"/>
      <c r="AR69"/>
      <c r="AS69"/>
      <c r="AT69"/>
      <c r="AU69"/>
      <c r="AV69"/>
      <c r="AW69"/>
      <c r="AX69"/>
      <c r="AY69"/>
      <c r="AZ69"/>
      <c r="BA69"/>
      <c r="BB69" s="173"/>
      <c r="BC69" s="173"/>
      <c r="BD69" s="173"/>
      <c r="BE69" s="173"/>
      <c r="BF69" s="173"/>
      <c r="BG69" s="173"/>
      <c r="BH69" s="173"/>
      <c r="BI69" s="173"/>
      <c r="BJ69" s="173"/>
      <c r="BK69" s="173"/>
      <c r="BL69" s="173"/>
      <c r="BM69" s="173"/>
      <c r="BN69"/>
      <c r="BO69"/>
      <c r="BP69"/>
      <c r="BQ69"/>
    </row>
    <row r="70" spans="2:69" ht="25" customHeight="1">
      <c r="B70"/>
      <c r="C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 s="173"/>
      <c r="AQ70"/>
      <c r="AR70"/>
      <c r="AS70"/>
      <c r="AT70"/>
      <c r="AU70"/>
      <c r="AV70"/>
      <c r="AW70"/>
      <c r="AX70"/>
      <c r="AY70"/>
      <c r="AZ70"/>
      <c r="BA70"/>
      <c r="BB70" s="173"/>
      <c r="BC70" s="173"/>
      <c r="BD70" s="173"/>
      <c r="BE70" s="173"/>
      <c r="BF70" s="173"/>
      <c r="BG70" s="173"/>
      <c r="BH70" s="173"/>
      <c r="BI70" s="173"/>
      <c r="BJ70" s="173"/>
      <c r="BK70" s="173"/>
      <c r="BL70" s="173"/>
      <c r="BM70" s="173"/>
      <c r="BN70"/>
      <c r="BO70"/>
      <c r="BP70"/>
      <c r="BQ70"/>
    </row>
    <row r="71" spans="2:69" ht="25" customHeight="1">
      <c r="B71"/>
      <c r="C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 s="173"/>
      <c r="AQ71"/>
      <c r="AR71"/>
      <c r="AS71"/>
      <c r="AT71"/>
      <c r="AU71"/>
      <c r="AV71"/>
      <c r="AW71"/>
      <c r="AX71"/>
      <c r="AY71"/>
      <c r="AZ71"/>
      <c r="BA71"/>
      <c r="BB71" s="173"/>
      <c r="BC71" s="173"/>
      <c r="BD71" s="173"/>
      <c r="BE71" s="173"/>
      <c r="BF71" s="173"/>
      <c r="BG71" s="173"/>
      <c r="BH71" s="173"/>
      <c r="BI71" s="173"/>
      <c r="BJ71" s="173"/>
      <c r="BK71" s="173"/>
      <c r="BL71" s="173"/>
      <c r="BM71" s="173"/>
      <c r="BN71"/>
      <c r="BO71"/>
      <c r="BP71"/>
      <c r="BQ71"/>
    </row>
    <row r="72" spans="2:69" ht="25" customHeight="1">
      <c r="B72"/>
      <c r="C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 s="173"/>
      <c r="AQ72"/>
      <c r="AR72"/>
      <c r="AS72"/>
      <c r="AT72"/>
      <c r="AU72"/>
      <c r="AV72"/>
      <c r="AW72"/>
      <c r="AX72"/>
      <c r="AY72"/>
      <c r="AZ72"/>
      <c r="BA72"/>
      <c r="BB72" s="173"/>
      <c r="BC72" s="173"/>
      <c r="BD72" s="173"/>
      <c r="BE72" s="173"/>
      <c r="BF72" s="173"/>
      <c r="BG72" s="173"/>
      <c r="BH72" s="173"/>
      <c r="BI72" s="173"/>
      <c r="BJ72" s="173"/>
      <c r="BK72" s="173"/>
      <c r="BL72" s="173"/>
      <c r="BM72" s="173"/>
      <c r="BN72"/>
      <c r="BO72"/>
      <c r="BP72"/>
      <c r="BQ72"/>
    </row>
    <row r="73" spans="2:69" ht="25" customHeight="1">
      <c r="B73"/>
      <c r="C73" s="160" t="s">
        <v>2</v>
      </c>
      <c r="D73"/>
      <c r="E73" s="161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 s="173"/>
      <c r="AQ73"/>
      <c r="AR73"/>
      <c r="AS73"/>
      <c r="AT73"/>
      <c r="AU73"/>
      <c r="AV73"/>
      <c r="AW73"/>
      <c r="AX73"/>
      <c r="AY73"/>
      <c r="AZ73"/>
      <c r="BA73"/>
      <c r="BB73" s="173"/>
      <c r="BC73" s="173"/>
      <c r="BD73" s="173"/>
      <c r="BE73" s="173"/>
      <c r="BF73" s="173"/>
      <c r="BG73" s="173"/>
      <c r="BH73" s="173"/>
      <c r="BI73" s="173"/>
      <c r="BJ73" s="173"/>
      <c r="BK73" s="173"/>
      <c r="BL73" s="173"/>
      <c r="BM73" s="173"/>
      <c r="BN73"/>
      <c r="BO73"/>
      <c r="BP73"/>
      <c r="BQ73"/>
    </row>
    <row r="74" spans="2:69" ht="25" customHeight="1">
      <c r="B74"/>
      <c r="C74" t="s">
        <v>2</v>
      </c>
      <c r="D74"/>
      <c r="E74" s="161" t="s">
        <v>2</v>
      </c>
      <c r="F74" t="s">
        <v>2</v>
      </c>
      <c r="G74" t="s">
        <v>2</v>
      </c>
      <c r="H74" t="s">
        <v>2</v>
      </c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 s="173"/>
      <c r="AQ74"/>
      <c r="AR74"/>
      <c r="AS74"/>
      <c r="AT74"/>
      <c r="AU74"/>
      <c r="AV74"/>
      <c r="AW74"/>
      <c r="AX74"/>
      <c r="AY74"/>
      <c r="AZ74"/>
      <c r="BA74"/>
      <c r="BB74" s="173"/>
      <c r="BC74" s="173"/>
      <c r="BD74" s="173"/>
      <c r="BE74" s="173"/>
      <c r="BF74" s="173"/>
      <c r="BG74" s="173"/>
      <c r="BH74" s="173"/>
      <c r="BI74" s="173"/>
      <c r="BJ74" s="173"/>
      <c r="BK74" s="173"/>
      <c r="BL74" s="173"/>
      <c r="BM74" s="173"/>
      <c r="BN74"/>
      <c r="BO74"/>
      <c r="BP74"/>
      <c r="BQ74"/>
    </row>
    <row r="75" spans="2:69" ht="25" customHeight="1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 s="173"/>
      <c r="AQ75"/>
      <c r="AR75"/>
      <c r="AS75"/>
      <c r="AT75"/>
      <c r="AU75"/>
      <c r="AV75"/>
      <c r="AW75"/>
      <c r="AX75"/>
      <c r="AY75"/>
      <c r="AZ75"/>
      <c r="BA75"/>
      <c r="BB75" s="173"/>
      <c r="BC75" s="173"/>
      <c r="BD75" s="173"/>
      <c r="BE75" s="173"/>
      <c r="BF75" s="173"/>
      <c r="BG75" s="173"/>
      <c r="BH75" s="173"/>
      <c r="BI75" s="173"/>
      <c r="BJ75" s="173"/>
      <c r="BK75" s="173"/>
      <c r="BL75" s="173"/>
      <c r="BM75" s="173"/>
      <c r="BN75"/>
      <c r="BO75"/>
      <c r="BP75"/>
      <c r="BQ75"/>
    </row>
    <row r="76" spans="2:69" ht="25" customHeight="1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 s="173"/>
      <c r="AQ76"/>
      <c r="AR76"/>
      <c r="AS76"/>
      <c r="AT76"/>
      <c r="AU76"/>
      <c r="AV76"/>
      <c r="AW76"/>
      <c r="AX76"/>
      <c r="AY76"/>
      <c r="AZ76"/>
      <c r="BA76"/>
      <c r="BB76" s="173"/>
      <c r="BC76" s="173"/>
      <c r="BD76" s="173"/>
      <c r="BE76" s="173"/>
      <c r="BF76" s="173"/>
      <c r="BG76" s="173"/>
      <c r="BH76" s="173"/>
      <c r="BI76" s="173"/>
      <c r="BJ76" s="173"/>
      <c r="BK76" s="173"/>
      <c r="BL76" s="173"/>
      <c r="BM76" s="173"/>
      <c r="BN76"/>
      <c r="BO76"/>
      <c r="BP76"/>
      <c r="BQ76"/>
    </row>
    <row r="77" spans="2:69" ht="25" customHeight="1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 s="173"/>
      <c r="AQ77"/>
      <c r="AR77"/>
      <c r="AS77"/>
      <c r="AT77"/>
      <c r="AU77"/>
      <c r="AV77"/>
      <c r="AW77"/>
      <c r="AX77"/>
      <c r="AY77"/>
      <c r="AZ77"/>
      <c r="BA77"/>
      <c r="BB77" s="173"/>
      <c r="BC77" s="173"/>
      <c r="BD77" s="173"/>
      <c r="BE77" s="173"/>
      <c r="BF77" s="173"/>
      <c r="BG77" s="173"/>
      <c r="BH77" s="173"/>
      <c r="BI77" s="173"/>
      <c r="BJ77" s="173"/>
      <c r="BK77" s="173"/>
      <c r="BL77" s="173"/>
      <c r="BM77" s="173"/>
      <c r="BN77"/>
      <c r="BO77"/>
      <c r="BP77"/>
      <c r="BQ77"/>
    </row>
    <row r="78" spans="2:69" ht="25" customHeight="1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 s="173"/>
      <c r="AQ78"/>
      <c r="AR78"/>
      <c r="AS78"/>
      <c r="AT78"/>
      <c r="AU78"/>
      <c r="AV78"/>
      <c r="AW78"/>
      <c r="AX78"/>
      <c r="AY78"/>
      <c r="AZ78"/>
      <c r="BA78"/>
      <c r="BB78" s="173"/>
      <c r="BC78" s="173"/>
      <c r="BD78" s="173"/>
      <c r="BE78" s="173"/>
      <c r="BF78" s="173"/>
      <c r="BG78" s="173"/>
      <c r="BH78" s="173"/>
      <c r="BI78" s="173"/>
      <c r="BJ78" s="173"/>
      <c r="BK78" s="173"/>
      <c r="BL78" s="173"/>
      <c r="BM78" s="173"/>
      <c r="BN78"/>
      <c r="BO78"/>
      <c r="BP78"/>
      <c r="BQ78"/>
    </row>
    <row r="79" spans="2:69" ht="25" customHeight="1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 s="173"/>
      <c r="AQ79"/>
      <c r="AR79"/>
      <c r="AS79"/>
      <c r="AT79"/>
      <c r="AU79"/>
      <c r="AV79"/>
      <c r="AW79"/>
      <c r="AX79"/>
      <c r="AY79"/>
      <c r="AZ79"/>
      <c r="BA79"/>
      <c r="BB79" s="173"/>
      <c r="BC79" s="173"/>
      <c r="BD79" s="173"/>
      <c r="BE79" s="173"/>
      <c r="BF79" s="173"/>
      <c r="BG79" s="173"/>
      <c r="BH79" s="173"/>
      <c r="BI79" s="173"/>
      <c r="BJ79" s="173"/>
      <c r="BK79" s="173"/>
      <c r="BL79" s="173"/>
      <c r="BM79" s="173"/>
      <c r="BN79"/>
      <c r="BO79"/>
      <c r="BP79"/>
      <c r="BQ79"/>
    </row>
    <row r="80" spans="2:69" ht="25" customHeight="1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 s="173"/>
      <c r="AQ80"/>
      <c r="AR80"/>
      <c r="AS80"/>
      <c r="AT80"/>
      <c r="AU80"/>
      <c r="AV80"/>
      <c r="AW80"/>
      <c r="AX80"/>
      <c r="AY80"/>
      <c r="AZ80"/>
      <c r="BA80"/>
      <c r="BB80" s="173"/>
      <c r="BC80" s="173"/>
      <c r="BD80" s="173"/>
      <c r="BE80" s="173"/>
      <c r="BF80" s="173"/>
      <c r="BG80" s="173"/>
      <c r="BH80" s="173"/>
      <c r="BI80" s="173"/>
      <c r="BJ80" s="173"/>
      <c r="BK80" s="173"/>
      <c r="BL80" s="173"/>
      <c r="BM80" s="173"/>
      <c r="BN80"/>
      <c r="BO80"/>
      <c r="BP80"/>
      <c r="BQ80"/>
    </row>
    <row r="81" spans="2:69" ht="25" customHeight="1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 s="173"/>
      <c r="AQ81"/>
      <c r="AR81"/>
      <c r="AS81"/>
      <c r="AT81"/>
      <c r="AU81"/>
      <c r="AV81"/>
      <c r="AW81"/>
      <c r="AX81"/>
      <c r="AY81"/>
      <c r="AZ81"/>
      <c r="BA81"/>
      <c r="BB81" s="173"/>
      <c r="BC81" s="173"/>
      <c r="BD81" s="173"/>
      <c r="BE81" s="173"/>
      <c r="BF81" s="173"/>
      <c r="BG81" s="173"/>
      <c r="BH81" s="173"/>
      <c r="BI81" s="173"/>
      <c r="BJ81" s="173"/>
      <c r="BK81" s="173"/>
      <c r="BL81" s="173"/>
      <c r="BM81" s="173"/>
      <c r="BN81"/>
      <c r="BO81"/>
      <c r="BP81"/>
      <c r="BQ81"/>
    </row>
    <row r="82" spans="2:69" ht="25" customHeight="1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 s="173"/>
      <c r="AQ82"/>
      <c r="AR82"/>
      <c r="AS82"/>
      <c r="AT82"/>
      <c r="AU82"/>
      <c r="AV82"/>
      <c r="AW82"/>
      <c r="AX82"/>
      <c r="AY82"/>
      <c r="AZ82"/>
      <c r="BA82"/>
      <c r="BB82" s="173"/>
      <c r="BC82" s="173"/>
      <c r="BD82" s="173"/>
      <c r="BE82" s="173"/>
      <c r="BF82" s="173"/>
      <c r="BG82" s="173"/>
      <c r="BH82" s="173"/>
      <c r="BI82" s="173"/>
      <c r="BJ82" s="173"/>
      <c r="BK82" s="173"/>
      <c r="BL82" s="173"/>
      <c r="BM82" s="173"/>
      <c r="BN82"/>
      <c r="BO82"/>
      <c r="BP82"/>
      <c r="BQ82"/>
    </row>
    <row r="83" spans="2:69" ht="25" customHeight="1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 s="173"/>
      <c r="AQ83"/>
      <c r="AR83"/>
      <c r="AS83"/>
      <c r="AT83"/>
      <c r="AU83"/>
      <c r="AV83"/>
      <c r="AW83"/>
      <c r="AX83"/>
      <c r="AY83"/>
      <c r="AZ83"/>
      <c r="BA83"/>
      <c r="BB83" s="173"/>
      <c r="BC83" s="173"/>
      <c r="BD83" s="173"/>
      <c r="BE83" s="173"/>
      <c r="BF83" s="173"/>
      <c r="BG83" s="173"/>
      <c r="BH83" s="173"/>
      <c r="BI83" s="173"/>
      <c r="BJ83" s="173"/>
      <c r="BK83" s="173"/>
      <c r="BL83" s="173"/>
      <c r="BM83" s="173"/>
      <c r="BN83"/>
      <c r="BO83"/>
      <c r="BP83"/>
      <c r="BQ83"/>
    </row>
    <row r="84" spans="2:69" ht="25" customHeight="1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 s="173"/>
      <c r="AQ84"/>
      <c r="AR84"/>
      <c r="AS84"/>
      <c r="AT84"/>
      <c r="AU84"/>
      <c r="AV84"/>
      <c r="AW84"/>
      <c r="AX84"/>
      <c r="AY84"/>
      <c r="AZ84"/>
      <c r="BA84"/>
      <c r="BB84" s="173"/>
      <c r="BC84" s="173"/>
      <c r="BD84" s="173"/>
      <c r="BE84" s="173"/>
      <c r="BF84" s="173"/>
      <c r="BG84" s="173"/>
      <c r="BH84" s="173"/>
      <c r="BI84" s="173"/>
      <c r="BJ84" s="173"/>
      <c r="BK84" s="173"/>
      <c r="BL84" s="173"/>
      <c r="BM84" s="173"/>
      <c r="BN84"/>
      <c r="BO84"/>
      <c r="BP84"/>
      <c r="BQ84"/>
    </row>
    <row r="85" spans="2:69" ht="25" customHeight="1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 s="173"/>
      <c r="AQ85"/>
      <c r="AR85"/>
      <c r="AS85"/>
      <c r="AT85"/>
      <c r="AU85"/>
      <c r="AV85"/>
      <c r="AW85"/>
      <c r="AX85"/>
      <c r="AY85"/>
      <c r="AZ85"/>
      <c r="BA85"/>
      <c r="BB85" s="173"/>
      <c r="BC85" s="173"/>
      <c r="BD85" s="173"/>
      <c r="BE85" s="173"/>
      <c r="BF85" s="173"/>
      <c r="BG85" s="173"/>
      <c r="BH85" s="173"/>
      <c r="BI85" s="173"/>
      <c r="BJ85" s="173"/>
      <c r="BK85" s="173"/>
      <c r="BL85" s="173"/>
      <c r="BM85" s="173"/>
      <c r="BN85"/>
      <c r="BO85"/>
      <c r="BP85"/>
      <c r="BQ85"/>
    </row>
    <row r="86" spans="2:69" ht="25" customHeigh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 s="173"/>
      <c r="AQ86"/>
      <c r="AR86"/>
      <c r="AS86"/>
      <c r="AT86"/>
      <c r="AU86"/>
      <c r="AV86"/>
      <c r="AW86"/>
      <c r="AX86"/>
      <c r="AY86"/>
      <c r="AZ86"/>
      <c r="BA86"/>
      <c r="BB86" s="173"/>
      <c r="BC86" s="173"/>
      <c r="BD86" s="173"/>
      <c r="BE86" s="173"/>
      <c r="BF86" s="173"/>
      <c r="BG86" s="173"/>
      <c r="BH86" s="173"/>
      <c r="BI86" s="173"/>
      <c r="BJ86" s="173"/>
      <c r="BK86" s="173"/>
      <c r="BL86" s="173"/>
      <c r="BM86" s="173"/>
      <c r="BN86"/>
      <c r="BO86"/>
      <c r="BP86"/>
      <c r="BQ86"/>
    </row>
    <row r="87" spans="2:69" ht="25" customHeight="1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 s="173"/>
      <c r="AQ87"/>
      <c r="AR87"/>
      <c r="AS87"/>
      <c r="AT87"/>
      <c r="AU87"/>
      <c r="AV87"/>
      <c r="AW87"/>
      <c r="AX87"/>
      <c r="AY87"/>
      <c r="AZ87"/>
      <c r="BA87"/>
      <c r="BB87" s="173"/>
      <c r="BC87" s="173"/>
      <c r="BD87" s="173"/>
      <c r="BE87" s="173"/>
      <c r="BF87" s="173"/>
      <c r="BG87" s="173"/>
      <c r="BH87" s="173"/>
      <c r="BI87" s="173"/>
      <c r="BJ87" s="173"/>
      <c r="BK87" s="173"/>
      <c r="BL87" s="173"/>
      <c r="BM87" s="173"/>
      <c r="BN87"/>
      <c r="BO87"/>
      <c r="BP87"/>
      <c r="BQ87"/>
    </row>
    <row r="88" spans="2:69" ht="25" customHeight="1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 s="173"/>
      <c r="AQ88"/>
      <c r="AR88"/>
      <c r="AS88"/>
      <c r="AT88"/>
      <c r="AU88"/>
      <c r="AV88"/>
      <c r="AW88"/>
      <c r="AX88"/>
      <c r="AY88"/>
      <c r="AZ88"/>
      <c r="BA88"/>
      <c r="BB88" s="173"/>
      <c r="BC88" s="173"/>
      <c r="BD88" s="173"/>
      <c r="BE88" s="173"/>
      <c r="BF88" s="173"/>
      <c r="BG88" s="173"/>
      <c r="BH88" s="173"/>
      <c r="BI88" s="173"/>
      <c r="BJ88" s="173"/>
      <c r="BK88" s="173"/>
      <c r="BL88" s="173"/>
      <c r="BM88" s="173"/>
      <c r="BN88"/>
      <c r="BO88"/>
      <c r="BP88"/>
      <c r="BQ88"/>
    </row>
    <row r="89" spans="2:69" ht="25" customHeight="1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 s="173"/>
      <c r="AQ89"/>
      <c r="AR89"/>
      <c r="AS89"/>
      <c r="AT89"/>
      <c r="AU89"/>
      <c r="AV89"/>
      <c r="AW89"/>
      <c r="AX89"/>
      <c r="AY89"/>
      <c r="AZ89"/>
      <c r="BA89"/>
      <c r="BB89" s="173"/>
      <c r="BC89" s="173"/>
      <c r="BD89" s="173"/>
      <c r="BE89" s="173"/>
      <c r="BF89" s="173"/>
      <c r="BG89" s="173"/>
      <c r="BH89" s="173"/>
      <c r="BI89" s="173"/>
      <c r="BJ89" s="173"/>
      <c r="BK89" s="173"/>
      <c r="BL89" s="173"/>
      <c r="BM89" s="173"/>
      <c r="BN89"/>
      <c r="BO89"/>
      <c r="BP89"/>
      <c r="BQ89"/>
    </row>
    <row r="90" spans="2:69" ht="25" customHeight="1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 s="173"/>
      <c r="AQ90"/>
      <c r="AR90"/>
      <c r="AS90"/>
      <c r="AT90"/>
      <c r="AU90"/>
      <c r="AV90"/>
      <c r="AW90"/>
      <c r="AX90"/>
      <c r="AY90"/>
      <c r="AZ90"/>
      <c r="BA90"/>
      <c r="BB90" s="173"/>
      <c r="BC90" s="173"/>
      <c r="BD90" s="173"/>
      <c r="BE90" s="173"/>
      <c r="BF90" s="173"/>
      <c r="BG90" s="173"/>
      <c r="BH90" s="173"/>
      <c r="BI90" s="173"/>
      <c r="BJ90" s="173"/>
      <c r="BK90" s="173"/>
      <c r="BL90" s="173"/>
      <c r="BM90" s="173"/>
      <c r="BN90"/>
      <c r="BO90"/>
      <c r="BP90"/>
      <c r="BQ90"/>
    </row>
    <row r="91" spans="2:69" ht="25" customHeight="1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 s="173"/>
      <c r="AQ91"/>
      <c r="AR91"/>
      <c r="AS91"/>
      <c r="AT91"/>
      <c r="AU91"/>
      <c r="AV91"/>
      <c r="AW91"/>
      <c r="AX91"/>
      <c r="AY91"/>
      <c r="AZ91"/>
      <c r="BA91"/>
      <c r="BB91" s="173"/>
      <c r="BC91" s="173"/>
      <c r="BD91" s="173"/>
      <c r="BE91" s="173"/>
      <c r="BF91" s="173"/>
      <c r="BG91" s="173"/>
      <c r="BH91" s="173"/>
      <c r="BI91" s="173"/>
      <c r="BJ91" s="173"/>
      <c r="BK91" s="173"/>
      <c r="BL91" s="173"/>
      <c r="BM91" s="173"/>
      <c r="BN91"/>
      <c r="BO91"/>
      <c r="BP91"/>
      <c r="BQ91"/>
    </row>
    <row r="92" spans="2:69" ht="25" customHeight="1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 s="173"/>
      <c r="AQ92"/>
      <c r="AR92"/>
      <c r="AS92"/>
      <c r="AT92"/>
      <c r="AU92"/>
      <c r="AV92"/>
      <c r="AW92"/>
      <c r="AX92"/>
      <c r="AY92"/>
      <c r="AZ92"/>
      <c r="BA92"/>
      <c r="BB92" s="173"/>
      <c r="BC92" s="173"/>
      <c r="BD92" s="173"/>
      <c r="BE92" s="173"/>
      <c r="BF92" s="173"/>
      <c r="BG92" s="173"/>
      <c r="BH92" s="173"/>
      <c r="BI92" s="173"/>
      <c r="BJ92" s="173"/>
      <c r="BK92" s="173"/>
      <c r="BL92" s="173"/>
      <c r="BM92" s="173"/>
      <c r="BN92"/>
      <c r="BO92"/>
      <c r="BP92"/>
      <c r="BQ92"/>
    </row>
    <row r="93" spans="2:69" ht="25" customHeight="1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 s="173"/>
      <c r="AQ93"/>
      <c r="AR93"/>
      <c r="AS93"/>
      <c r="AT93"/>
      <c r="AU93"/>
      <c r="AV93"/>
      <c r="AW93"/>
      <c r="AX93"/>
      <c r="AY93"/>
      <c r="AZ93"/>
      <c r="BA9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/>
      <c r="BO93"/>
      <c r="BP93"/>
      <c r="BQ93"/>
    </row>
    <row r="94" spans="2:69" ht="25" customHeight="1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 s="173"/>
      <c r="AQ94"/>
      <c r="AR94"/>
      <c r="AS94"/>
      <c r="AT94"/>
      <c r="AU94"/>
      <c r="AV94"/>
      <c r="AW94"/>
      <c r="AX94"/>
      <c r="AY94"/>
      <c r="AZ94"/>
      <c r="BA94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/>
      <c r="BO94"/>
      <c r="BP94"/>
      <c r="BQ94"/>
    </row>
    <row r="95" spans="2:69" ht="25" customHeight="1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 s="173"/>
      <c r="AQ95"/>
      <c r="AR95"/>
      <c r="AS95"/>
      <c r="AT95"/>
      <c r="AU95"/>
      <c r="AV95"/>
      <c r="AW95"/>
      <c r="AX95"/>
      <c r="AY95"/>
      <c r="AZ95"/>
      <c r="BA95"/>
      <c r="BB95" s="173"/>
      <c r="BC95" s="173"/>
      <c r="BD95" s="173"/>
      <c r="BE95" s="173"/>
      <c r="BF95" s="173"/>
      <c r="BG95" s="173"/>
      <c r="BH95" s="173"/>
      <c r="BI95" s="173"/>
      <c r="BJ95" s="173"/>
      <c r="BK95" s="173"/>
      <c r="BL95" s="173"/>
      <c r="BM95" s="173"/>
      <c r="BN95"/>
      <c r="BO95"/>
      <c r="BP95"/>
      <c r="BQ95"/>
    </row>
    <row r="96" spans="2:69" ht="25" customHeight="1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 s="173"/>
      <c r="AQ96"/>
      <c r="AR96"/>
      <c r="AS96"/>
      <c r="AT96"/>
      <c r="AU96"/>
      <c r="AV96"/>
      <c r="AW96"/>
      <c r="AX96"/>
      <c r="AY96"/>
      <c r="AZ96"/>
      <c r="BA96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73"/>
      <c r="BM96" s="173"/>
      <c r="BN96"/>
      <c r="BO96"/>
      <c r="BP96"/>
      <c r="BQ96"/>
    </row>
    <row r="97" spans="2:69" ht="25" customHeight="1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 s="173"/>
      <c r="AQ97"/>
      <c r="AR97"/>
      <c r="AS97"/>
      <c r="AT97"/>
      <c r="AU97"/>
      <c r="AV97"/>
      <c r="AW97"/>
      <c r="AX97"/>
      <c r="AY97"/>
      <c r="AZ97"/>
      <c r="BA97"/>
      <c r="BB97" s="173"/>
      <c r="BC97" s="173"/>
      <c r="BD97" s="173"/>
      <c r="BE97" s="173"/>
      <c r="BF97" s="173"/>
      <c r="BG97" s="173"/>
      <c r="BH97" s="173"/>
      <c r="BI97" s="173"/>
      <c r="BJ97" s="173"/>
      <c r="BK97" s="173"/>
      <c r="BL97" s="173"/>
      <c r="BM97" s="173"/>
      <c r="BN97"/>
      <c r="BO97"/>
      <c r="BP97"/>
      <c r="BQ97"/>
    </row>
    <row r="98" spans="2:69" ht="25" customHeight="1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 s="173"/>
      <c r="AQ98"/>
      <c r="AR98"/>
      <c r="AS98"/>
      <c r="AT98"/>
      <c r="AU98"/>
      <c r="AV98"/>
      <c r="AW98"/>
      <c r="AX98"/>
      <c r="AY98"/>
      <c r="AZ98"/>
      <c r="BA98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73"/>
      <c r="BM98" s="173"/>
      <c r="BN98"/>
      <c r="BO98"/>
      <c r="BP98"/>
      <c r="BQ98"/>
    </row>
    <row r="99" spans="2:69" ht="25" customHeight="1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 s="173"/>
      <c r="AQ99"/>
      <c r="AR99"/>
      <c r="AS99"/>
      <c r="AT99"/>
      <c r="AU99"/>
      <c r="AV99"/>
      <c r="AW99"/>
      <c r="AX99"/>
      <c r="AY99"/>
      <c r="AZ99"/>
      <c r="BA99"/>
      <c r="BB99" s="173"/>
      <c r="BC99" s="173"/>
      <c r="BD99" s="173"/>
      <c r="BE99" s="173"/>
      <c r="BF99" s="173"/>
      <c r="BG99" s="173"/>
      <c r="BH99" s="173"/>
      <c r="BI99" s="173"/>
      <c r="BJ99" s="173"/>
      <c r="BK99" s="173"/>
      <c r="BL99" s="173"/>
      <c r="BM99" s="173"/>
      <c r="BN99"/>
      <c r="BO99"/>
      <c r="BP99"/>
      <c r="BQ99"/>
    </row>
    <row r="100" spans="2:69" ht="25" customHeight="1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 s="173"/>
      <c r="AQ100"/>
      <c r="AR100"/>
      <c r="AS100"/>
      <c r="AT100"/>
      <c r="AU100"/>
      <c r="AV100"/>
      <c r="AW100"/>
      <c r="AX100"/>
      <c r="AY100"/>
      <c r="AZ100"/>
      <c r="BA100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/>
      <c r="BO100"/>
      <c r="BP100"/>
      <c r="BQ100"/>
    </row>
    <row r="101" spans="2:69" ht="25" customHeigh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 s="173"/>
      <c r="AQ101"/>
      <c r="AR101"/>
      <c r="AS101"/>
      <c r="AT101"/>
      <c r="AU101"/>
      <c r="AV101"/>
      <c r="AW101"/>
      <c r="AX101"/>
      <c r="AY101"/>
      <c r="AZ101"/>
      <c r="BA101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/>
      <c r="BO101"/>
      <c r="BP101"/>
      <c r="BQ101"/>
    </row>
    <row r="102" spans="2:69" ht="25" customHeight="1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 s="173"/>
      <c r="AQ102"/>
      <c r="AR102"/>
      <c r="AS102"/>
      <c r="AT102"/>
      <c r="AU102"/>
      <c r="AV102"/>
      <c r="AW102"/>
      <c r="AX102"/>
      <c r="AY102"/>
      <c r="AZ102"/>
      <c r="BA102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/>
      <c r="BO102"/>
      <c r="BP102"/>
      <c r="BQ102"/>
    </row>
    <row r="103" spans="2:69" ht="25" customHeight="1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 s="173"/>
      <c r="AQ103"/>
      <c r="AR103"/>
      <c r="AS103"/>
      <c r="AT103"/>
      <c r="AU103"/>
      <c r="AV103"/>
      <c r="AW103"/>
      <c r="AX103"/>
      <c r="AY103"/>
      <c r="AZ103"/>
      <c r="BA103"/>
      <c r="BB103" s="173"/>
      <c r="BC103" s="173"/>
      <c r="BD103" s="173"/>
      <c r="BE103" s="173"/>
      <c r="BF103" s="173"/>
      <c r="BG103" s="173"/>
      <c r="BH103" s="173"/>
      <c r="BI103" s="173"/>
      <c r="BJ103" s="173"/>
      <c r="BK103" s="173"/>
      <c r="BL103" s="173"/>
      <c r="BM103" s="173"/>
      <c r="BN103"/>
      <c r="BO103"/>
      <c r="BP103"/>
      <c r="BQ103"/>
    </row>
    <row r="104" spans="2:69" ht="25" customHeight="1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 s="173"/>
      <c r="AQ104"/>
      <c r="AR104"/>
      <c r="AS104"/>
      <c r="AT104"/>
      <c r="AU104"/>
      <c r="AV104"/>
      <c r="AW104"/>
      <c r="AX104"/>
      <c r="AY104"/>
      <c r="AZ104"/>
      <c r="BA104"/>
      <c r="BB104" s="173"/>
      <c r="BC104" s="173"/>
      <c r="BD104" s="173"/>
      <c r="BE104" s="173"/>
      <c r="BF104" s="173"/>
      <c r="BG104" s="173"/>
      <c r="BH104" s="173"/>
      <c r="BI104" s="173"/>
      <c r="BJ104" s="173"/>
      <c r="BK104" s="173"/>
      <c r="BL104" s="173"/>
      <c r="BM104" s="173"/>
      <c r="BN104"/>
      <c r="BO104"/>
      <c r="BP104"/>
      <c r="BQ104"/>
    </row>
    <row r="105" spans="2:69" ht="25" customHeight="1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 s="173"/>
      <c r="AQ105"/>
      <c r="AR105"/>
      <c r="AS105"/>
      <c r="AT105"/>
      <c r="AU105"/>
      <c r="AV105"/>
      <c r="AW105"/>
      <c r="AX105"/>
      <c r="AY105"/>
      <c r="AZ105"/>
      <c r="BA105"/>
      <c r="BB105" s="173"/>
      <c r="BC105" s="173"/>
      <c r="BD105" s="173"/>
      <c r="BE105" s="173"/>
      <c r="BF105" s="173"/>
      <c r="BG105" s="173"/>
      <c r="BH105" s="173"/>
      <c r="BI105" s="173"/>
      <c r="BJ105" s="173"/>
      <c r="BK105" s="173"/>
      <c r="BL105" s="173"/>
      <c r="BM105" s="173"/>
      <c r="BN105"/>
      <c r="BO105"/>
      <c r="BP105"/>
      <c r="BQ105"/>
    </row>
    <row r="106" spans="2:69" ht="25" customHeight="1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 s="173"/>
      <c r="AQ106"/>
      <c r="AR106"/>
      <c r="AS106"/>
      <c r="AT106"/>
      <c r="AU106"/>
      <c r="AV106"/>
      <c r="AW106"/>
      <c r="AX106"/>
      <c r="AY106"/>
      <c r="AZ106"/>
      <c r="BA106"/>
      <c r="BB106" s="173"/>
      <c r="BC106" s="173"/>
      <c r="BD106" s="173"/>
      <c r="BE106" s="173"/>
      <c r="BF106" s="173"/>
      <c r="BG106" s="173"/>
      <c r="BH106" s="173"/>
      <c r="BI106" s="173"/>
      <c r="BJ106" s="173"/>
      <c r="BK106" s="173"/>
      <c r="BL106" s="173"/>
      <c r="BM106" s="173"/>
      <c r="BN106"/>
      <c r="BO106"/>
      <c r="BP106"/>
      <c r="BQ106"/>
    </row>
    <row r="107" spans="2:69" ht="25" customHeight="1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 s="173"/>
      <c r="AQ107"/>
      <c r="AR107"/>
      <c r="AS107"/>
      <c r="AT107"/>
      <c r="AU107"/>
      <c r="AV107"/>
      <c r="AW107"/>
      <c r="AX107"/>
      <c r="AY107"/>
      <c r="AZ107"/>
      <c r="BA107"/>
      <c r="BB107" s="173"/>
      <c r="BC107" s="173"/>
      <c r="BD107" s="173"/>
      <c r="BE107" s="173"/>
      <c r="BF107" s="173"/>
      <c r="BG107" s="173"/>
      <c r="BH107" s="173"/>
      <c r="BI107" s="173"/>
      <c r="BJ107" s="173"/>
      <c r="BK107" s="173"/>
      <c r="BL107" s="173"/>
      <c r="BM107" s="173"/>
      <c r="BN107"/>
      <c r="BO107"/>
      <c r="BP107"/>
      <c r="BQ107"/>
    </row>
    <row r="108" spans="2:69" ht="25" customHeight="1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 s="173"/>
      <c r="AQ108"/>
      <c r="AR108"/>
      <c r="AS108"/>
      <c r="AT108"/>
      <c r="AU108"/>
      <c r="AV108"/>
      <c r="AW108"/>
      <c r="AX108"/>
      <c r="AY108"/>
      <c r="AZ108"/>
      <c r="BA108"/>
      <c r="BB108" s="173"/>
      <c r="BC108" s="173"/>
      <c r="BD108" s="173"/>
      <c r="BE108" s="173"/>
      <c r="BF108" s="173"/>
      <c r="BG108" s="173"/>
      <c r="BH108" s="173"/>
      <c r="BI108" s="173"/>
      <c r="BJ108" s="173"/>
      <c r="BK108" s="173"/>
      <c r="BL108" s="173"/>
      <c r="BM108" s="173"/>
      <c r="BN108"/>
      <c r="BO108"/>
      <c r="BP108"/>
      <c r="BQ108"/>
    </row>
    <row r="109" spans="2:69" ht="25" customHeight="1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 s="173"/>
      <c r="AQ109"/>
      <c r="AR109"/>
      <c r="AS109"/>
      <c r="AT109"/>
      <c r="AU109"/>
      <c r="AV109"/>
      <c r="AW109"/>
      <c r="AX109"/>
      <c r="AY109"/>
      <c r="AZ109"/>
      <c r="BA109"/>
      <c r="BB109" s="173"/>
      <c r="BC109" s="173"/>
      <c r="BD109" s="173"/>
      <c r="BE109" s="173"/>
      <c r="BF109" s="173"/>
      <c r="BG109" s="173"/>
      <c r="BH109" s="173"/>
      <c r="BI109" s="173"/>
      <c r="BJ109" s="173"/>
      <c r="BK109" s="173"/>
      <c r="BL109" s="173"/>
      <c r="BM109" s="173"/>
      <c r="BN109"/>
      <c r="BO109"/>
      <c r="BP109"/>
      <c r="BQ109"/>
    </row>
    <row r="110" spans="2:69" ht="25" customHeight="1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 s="173"/>
      <c r="AQ110"/>
      <c r="AR110"/>
      <c r="AS110"/>
      <c r="AT110"/>
      <c r="AU110"/>
      <c r="AV110"/>
      <c r="AW110"/>
      <c r="AX110"/>
      <c r="AY110"/>
      <c r="AZ110"/>
      <c r="BA110"/>
      <c r="BB110" s="173"/>
      <c r="BC110" s="173"/>
      <c r="BD110" s="173"/>
      <c r="BE110" s="173"/>
      <c r="BF110" s="173"/>
      <c r="BG110" s="173"/>
      <c r="BH110" s="173"/>
      <c r="BI110" s="173"/>
      <c r="BJ110" s="173"/>
      <c r="BK110" s="173"/>
      <c r="BL110" s="173"/>
      <c r="BM110" s="173"/>
      <c r="BN110"/>
      <c r="BO110"/>
      <c r="BP110"/>
      <c r="BQ110"/>
    </row>
    <row r="111" spans="2:69" ht="25" customHeight="1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 s="173"/>
      <c r="AQ111"/>
      <c r="AR111"/>
      <c r="AS111"/>
      <c r="AT111"/>
      <c r="AU111"/>
      <c r="AV111"/>
      <c r="AW111"/>
      <c r="AX111"/>
      <c r="AY111"/>
      <c r="AZ111"/>
      <c r="BA111"/>
      <c r="BB111" s="173"/>
      <c r="BC111" s="173"/>
      <c r="BD111" s="173"/>
      <c r="BE111" s="173"/>
      <c r="BF111" s="173"/>
      <c r="BG111" s="173"/>
      <c r="BH111" s="173"/>
      <c r="BI111" s="173"/>
      <c r="BJ111" s="173"/>
      <c r="BK111" s="173"/>
      <c r="BL111" s="173"/>
      <c r="BM111" s="173"/>
      <c r="BN111"/>
      <c r="BO111"/>
      <c r="BP111"/>
      <c r="BQ111"/>
    </row>
    <row r="112" spans="2:69" ht="25" customHeight="1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 s="173"/>
      <c r="AQ112"/>
      <c r="AR112"/>
      <c r="AS112"/>
      <c r="AT112"/>
      <c r="AU112"/>
      <c r="AV112"/>
      <c r="AW112"/>
      <c r="AX112"/>
      <c r="AY112"/>
      <c r="AZ112"/>
      <c r="BA112"/>
      <c r="BB112" s="173"/>
      <c r="BC112" s="173"/>
      <c r="BD112" s="173"/>
      <c r="BE112" s="173"/>
      <c r="BF112" s="173"/>
      <c r="BG112" s="173"/>
      <c r="BH112" s="173"/>
      <c r="BI112" s="173"/>
      <c r="BJ112" s="173"/>
      <c r="BK112" s="173"/>
      <c r="BL112" s="173"/>
      <c r="BM112" s="173"/>
      <c r="BN112"/>
      <c r="BO112"/>
      <c r="BP112"/>
      <c r="BQ112"/>
    </row>
    <row r="113" spans="2:69" ht="25" customHeight="1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 s="173"/>
      <c r="AQ113"/>
      <c r="AR113"/>
      <c r="AS113"/>
      <c r="AT113"/>
      <c r="AU113"/>
      <c r="AV113"/>
      <c r="AW113"/>
      <c r="AX113"/>
      <c r="AY113"/>
      <c r="AZ113"/>
      <c r="BA113"/>
      <c r="BB113" s="173"/>
      <c r="BC113" s="173"/>
      <c r="BD113" s="173"/>
      <c r="BE113" s="173"/>
      <c r="BF113" s="173"/>
      <c r="BG113" s="173"/>
      <c r="BH113" s="173"/>
      <c r="BI113" s="173"/>
      <c r="BJ113" s="173"/>
      <c r="BK113" s="173"/>
      <c r="BL113" s="173"/>
      <c r="BM113" s="173"/>
      <c r="BN113"/>
      <c r="BO113"/>
      <c r="BP113"/>
      <c r="BQ113"/>
    </row>
    <row r="114" spans="2:69" ht="25" customHeight="1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 s="173"/>
      <c r="AQ114"/>
      <c r="AR114"/>
      <c r="AS114"/>
      <c r="AT114"/>
      <c r="AU114"/>
      <c r="AV114"/>
      <c r="AW114"/>
      <c r="AX114"/>
      <c r="AY114"/>
      <c r="AZ114"/>
      <c r="BA114"/>
      <c r="BB114" s="173"/>
      <c r="BC114" s="173"/>
      <c r="BD114" s="173"/>
      <c r="BE114" s="173"/>
      <c r="BF114" s="173"/>
      <c r="BG114" s="173"/>
      <c r="BH114" s="173"/>
      <c r="BI114" s="173"/>
      <c r="BJ114" s="173"/>
      <c r="BK114" s="173"/>
      <c r="BL114" s="173"/>
      <c r="BM114" s="173"/>
      <c r="BN114"/>
      <c r="BO114"/>
      <c r="BP114"/>
      <c r="BQ114"/>
    </row>
    <row r="115" spans="2:69" ht="25" customHeight="1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 s="173"/>
      <c r="AQ115"/>
      <c r="AR115"/>
      <c r="AS115"/>
      <c r="AT115"/>
      <c r="AU115"/>
      <c r="AV115"/>
      <c r="AW115"/>
      <c r="AX115"/>
      <c r="AY115"/>
      <c r="AZ115"/>
      <c r="BA115"/>
      <c r="BB115" s="173"/>
      <c r="BC115" s="173"/>
      <c r="BD115" s="173"/>
      <c r="BE115" s="173"/>
      <c r="BF115" s="173"/>
      <c r="BG115" s="173"/>
      <c r="BH115" s="173"/>
      <c r="BI115" s="173"/>
      <c r="BJ115" s="173"/>
      <c r="BK115" s="173"/>
      <c r="BL115" s="173"/>
      <c r="BM115" s="173"/>
      <c r="BN115"/>
      <c r="BO115"/>
      <c r="BP115"/>
      <c r="BQ115"/>
    </row>
    <row r="116" spans="2:69" ht="25" customHeight="1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 s="173"/>
      <c r="AQ116"/>
      <c r="AR116"/>
      <c r="AS116"/>
      <c r="AT116"/>
      <c r="AU116"/>
      <c r="AV116"/>
      <c r="AW116"/>
      <c r="AX116"/>
      <c r="AY116"/>
      <c r="AZ116"/>
      <c r="BA116"/>
      <c r="BB116" s="173"/>
      <c r="BC116" s="173"/>
      <c r="BD116" s="173"/>
      <c r="BE116" s="173"/>
      <c r="BF116" s="173"/>
      <c r="BG116" s="173"/>
      <c r="BH116" s="173"/>
      <c r="BI116" s="173"/>
      <c r="BJ116" s="173"/>
      <c r="BK116" s="173"/>
      <c r="BL116" s="173"/>
      <c r="BM116" s="173"/>
      <c r="BN116"/>
      <c r="BO116"/>
      <c r="BP116"/>
      <c r="BQ116"/>
    </row>
    <row r="117" spans="2:69" ht="25" customHeight="1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 s="173"/>
      <c r="AQ117"/>
      <c r="AR117"/>
      <c r="AS117"/>
      <c r="AT117"/>
      <c r="AU117"/>
      <c r="AV117"/>
      <c r="AW117"/>
      <c r="AX117"/>
      <c r="AY117"/>
      <c r="AZ117"/>
      <c r="BA117"/>
      <c r="BB117" s="173"/>
      <c r="BC117" s="173"/>
      <c r="BD117" s="173"/>
      <c r="BE117" s="173"/>
      <c r="BF117" s="173"/>
      <c r="BG117" s="173"/>
      <c r="BH117" s="173"/>
      <c r="BI117" s="173"/>
      <c r="BJ117" s="173"/>
      <c r="BK117" s="173"/>
      <c r="BL117" s="173"/>
      <c r="BM117" s="173"/>
      <c r="BN117"/>
      <c r="BO117"/>
      <c r="BP117"/>
      <c r="BQ117"/>
    </row>
    <row r="118" spans="2:69" ht="25" customHeight="1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 s="173"/>
      <c r="AQ118"/>
      <c r="AR118"/>
      <c r="AS118"/>
      <c r="AT118"/>
      <c r="AU118"/>
      <c r="AV118"/>
      <c r="AW118"/>
      <c r="AX118"/>
      <c r="AY118"/>
      <c r="AZ118"/>
      <c r="BA118"/>
      <c r="BB118" s="173"/>
      <c r="BC118" s="173"/>
      <c r="BD118" s="173"/>
      <c r="BE118" s="173"/>
      <c r="BF118" s="173"/>
      <c r="BG118" s="173"/>
      <c r="BH118" s="173"/>
      <c r="BI118" s="173"/>
      <c r="BJ118" s="173"/>
      <c r="BK118" s="173"/>
      <c r="BL118" s="173"/>
      <c r="BM118" s="173"/>
      <c r="BN118"/>
      <c r="BO118"/>
      <c r="BP118"/>
      <c r="BQ118"/>
    </row>
    <row r="119" spans="2:69" ht="25" customHeight="1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 s="173"/>
      <c r="AQ119"/>
      <c r="AR119"/>
      <c r="AS119"/>
      <c r="AT119"/>
      <c r="AU119"/>
      <c r="AV119"/>
      <c r="AW119"/>
      <c r="AX119"/>
      <c r="AY119"/>
      <c r="AZ119"/>
      <c r="BA119"/>
      <c r="BB119" s="173"/>
      <c r="BC119" s="173"/>
      <c r="BD119" s="173"/>
      <c r="BE119" s="173"/>
      <c r="BF119" s="173"/>
      <c r="BG119" s="173"/>
      <c r="BH119" s="173"/>
      <c r="BI119" s="173"/>
      <c r="BJ119" s="173"/>
      <c r="BK119" s="173"/>
      <c r="BL119" s="173"/>
      <c r="BM119" s="173"/>
      <c r="BN119"/>
      <c r="BO119"/>
      <c r="BP119"/>
      <c r="BQ119"/>
    </row>
    <row r="120" spans="2:69" ht="25" customHeight="1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 s="173"/>
      <c r="AQ120"/>
      <c r="AR120"/>
      <c r="AS120"/>
      <c r="AT120"/>
      <c r="AU120"/>
      <c r="AV120"/>
      <c r="AW120"/>
      <c r="AX120"/>
      <c r="AY120"/>
      <c r="AZ120"/>
      <c r="BA120"/>
      <c r="BB120" s="173"/>
      <c r="BC120" s="173"/>
      <c r="BD120" s="173"/>
      <c r="BE120" s="173"/>
      <c r="BF120" s="173"/>
      <c r="BG120" s="173"/>
      <c r="BH120" s="173"/>
      <c r="BI120" s="173"/>
      <c r="BJ120" s="173"/>
      <c r="BK120" s="173"/>
      <c r="BL120" s="173"/>
      <c r="BM120" s="173"/>
      <c r="BN120"/>
      <c r="BO120"/>
      <c r="BP120"/>
      <c r="BQ120"/>
    </row>
    <row r="121" spans="2:69" ht="25" customHeight="1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 s="173"/>
      <c r="AQ121"/>
      <c r="AR121"/>
      <c r="AS121"/>
      <c r="AT121"/>
      <c r="AU121"/>
      <c r="AV121"/>
      <c r="AW121"/>
      <c r="AX121"/>
      <c r="AY121"/>
      <c r="AZ121"/>
      <c r="BA121"/>
      <c r="BB121" s="173"/>
      <c r="BC121" s="173"/>
      <c r="BD121" s="173"/>
      <c r="BE121" s="173"/>
      <c r="BF121" s="173"/>
      <c r="BG121" s="173"/>
      <c r="BH121" s="173"/>
      <c r="BI121" s="173"/>
      <c r="BJ121" s="173"/>
      <c r="BK121" s="173"/>
      <c r="BL121" s="173"/>
      <c r="BM121" s="173"/>
      <c r="BN121"/>
      <c r="BO121"/>
      <c r="BP121"/>
      <c r="BQ121"/>
    </row>
    <row r="122" spans="2:69" ht="25" customHeight="1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 s="173"/>
      <c r="AQ122"/>
      <c r="AR122"/>
      <c r="AS122"/>
      <c r="AT122"/>
      <c r="AU122"/>
      <c r="AV122"/>
      <c r="AW122"/>
      <c r="AX122"/>
      <c r="AY122"/>
      <c r="AZ122"/>
      <c r="BA122"/>
      <c r="BB122" s="173"/>
      <c r="BC122" s="173"/>
      <c r="BD122" s="173"/>
      <c r="BE122" s="173"/>
      <c r="BF122" s="173"/>
      <c r="BG122" s="173"/>
      <c r="BH122" s="173"/>
      <c r="BI122" s="173"/>
      <c r="BJ122" s="173"/>
      <c r="BK122" s="173"/>
      <c r="BL122" s="173"/>
      <c r="BM122" s="173"/>
      <c r="BN122"/>
      <c r="BO122"/>
      <c r="BP122"/>
      <c r="BQ122"/>
    </row>
    <row r="123" spans="2:69" ht="25" customHeight="1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 s="173"/>
      <c r="AQ123"/>
      <c r="AR123"/>
      <c r="AS123"/>
      <c r="AT123"/>
      <c r="AU123"/>
      <c r="AV123"/>
      <c r="AW123"/>
      <c r="AX123"/>
      <c r="AY123"/>
      <c r="AZ123"/>
      <c r="BA123"/>
      <c r="BB123" s="173"/>
      <c r="BC123" s="173"/>
      <c r="BD123" s="173"/>
      <c r="BE123" s="173"/>
      <c r="BF123" s="173"/>
      <c r="BG123" s="173"/>
      <c r="BH123" s="173"/>
      <c r="BI123" s="173"/>
      <c r="BJ123" s="173"/>
      <c r="BK123" s="173"/>
      <c r="BL123" s="173"/>
      <c r="BM123" s="173"/>
      <c r="BN123"/>
      <c r="BO123"/>
      <c r="BP123"/>
      <c r="BQ123"/>
    </row>
    <row r="124" spans="2:69" ht="25" customHeight="1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 s="173"/>
      <c r="AQ124"/>
      <c r="AR124"/>
      <c r="AS124"/>
      <c r="AT124"/>
      <c r="AU124"/>
      <c r="AV124"/>
      <c r="AW124"/>
      <c r="AX124"/>
      <c r="AY124"/>
      <c r="AZ124"/>
      <c r="BA124"/>
      <c r="BB124" s="173"/>
      <c r="BC124" s="173"/>
      <c r="BD124" s="173"/>
      <c r="BE124" s="173"/>
      <c r="BF124" s="173"/>
      <c r="BG124" s="173"/>
      <c r="BH124" s="173"/>
      <c r="BI124" s="173"/>
      <c r="BJ124" s="173"/>
      <c r="BK124" s="173"/>
      <c r="BL124" s="173"/>
      <c r="BM124" s="173"/>
      <c r="BN124"/>
      <c r="BO124"/>
      <c r="BP124"/>
      <c r="BQ124"/>
    </row>
    <row r="125" spans="2:69" ht="25" customHeight="1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 s="173"/>
      <c r="AQ125"/>
      <c r="AR125"/>
      <c r="AS125"/>
      <c r="AT125"/>
      <c r="AU125"/>
      <c r="AV125"/>
      <c r="AW125"/>
      <c r="AX125"/>
      <c r="AY125"/>
      <c r="AZ125"/>
      <c r="BA125"/>
      <c r="BB125" s="173"/>
      <c r="BC125" s="173"/>
      <c r="BD125" s="173"/>
      <c r="BE125" s="173"/>
      <c r="BF125" s="173"/>
      <c r="BG125" s="173"/>
      <c r="BH125" s="173"/>
      <c r="BI125" s="173"/>
      <c r="BJ125" s="173"/>
      <c r="BK125" s="173"/>
      <c r="BL125" s="173"/>
      <c r="BM125" s="173"/>
      <c r="BN125"/>
      <c r="BO125"/>
      <c r="BP125"/>
      <c r="BQ125"/>
    </row>
    <row r="126" spans="2:69" ht="25" customHeight="1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 s="173"/>
      <c r="AQ126"/>
      <c r="AR126"/>
      <c r="AS126"/>
      <c r="AT126"/>
      <c r="AU126"/>
      <c r="AV126"/>
      <c r="AW126"/>
      <c r="AX126"/>
      <c r="AY126"/>
      <c r="AZ126"/>
      <c r="BA126"/>
      <c r="BB126" s="173"/>
      <c r="BC126" s="173"/>
      <c r="BD126" s="173"/>
      <c r="BE126" s="173"/>
      <c r="BF126" s="173"/>
      <c r="BG126" s="173"/>
      <c r="BH126" s="173"/>
      <c r="BI126" s="173"/>
      <c r="BJ126" s="173"/>
      <c r="BK126" s="173"/>
      <c r="BL126" s="173"/>
      <c r="BM126" s="173"/>
      <c r="BN126"/>
      <c r="BO126"/>
      <c r="BP126"/>
      <c r="BQ126"/>
    </row>
    <row r="127" spans="2:69" ht="25" customHeight="1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 s="173"/>
      <c r="AQ127"/>
      <c r="AR127"/>
      <c r="AS127"/>
      <c r="AT127"/>
      <c r="AU127"/>
      <c r="AV127"/>
      <c r="AW127"/>
      <c r="AX127"/>
      <c r="AY127"/>
      <c r="AZ127"/>
      <c r="BA127"/>
      <c r="BB127" s="173"/>
      <c r="BC127" s="173"/>
      <c r="BD127" s="173"/>
      <c r="BE127" s="173"/>
      <c r="BF127" s="173"/>
      <c r="BG127" s="173"/>
      <c r="BH127" s="173"/>
      <c r="BI127" s="173"/>
      <c r="BJ127" s="173"/>
      <c r="BK127" s="173"/>
      <c r="BL127" s="173"/>
      <c r="BM127" s="173"/>
      <c r="BN127"/>
      <c r="BO127"/>
      <c r="BP127"/>
      <c r="BQ127"/>
    </row>
    <row r="128" spans="2:69" ht="25" customHeight="1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 s="173"/>
      <c r="AQ128"/>
      <c r="AR128"/>
      <c r="AS128"/>
      <c r="AT128"/>
      <c r="AU128"/>
      <c r="AV128"/>
      <c r="AW128"/>
      <c r="AX128"/>
      <c r="AY128"/>
      <c r="AZ128"/>
      <c r="BA128"/>
      <c r="BB128" s="173"/>
      <c r="BC128" s="173"/>
      <c r="BD128" s="173"/>
      <c r="BE128" s="173"/>
      <c r="BF128" s="173"/>
      <c r="BG128" s="173"/>
      <c r="BH128" s="173"/>
      <c r="BI128" s="173"/>
      <c r="BJ128" s="173"/>
      <c r="BK128" s="173"/>
      <c r="BL128" s="173"/>
      <c r="BM128" s="173"/>
      <c r="BN128"/>
      <c r="BO128"/>
      <c r="BP128"/>
      <c r="BQ128"/>
    </row>
    <row r="129" spans="2:69" ht="25" customHeight="1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 s="173"/>
      <c r="AQ129"/>
      <c r="AR129"/>
      <c r="AS129"/>
      <c r="AT129"/>
      <c r="AU129"/>
      <c r="AV129"/>
      <c r="AW129"/>
      <c r="AX129"/>
      <c r="AY129"/>
      <c r="AZ129"/>
      <c r="BA129"/>
      <c r="BB129" s="173"/>
      <c r="BC129" s="173"/>
      <c r="BD129" s="173"/>
      <c r="BE129" s="173"/>
      <c r="BF129" s="173"/>
      <c r="BG129" s="173"/>
      <c r="BH129" s="173"/>
      <c r="BI129" s="173"/>
      <c r="BJ129" s="173"/>
      <c r="BK129" s="173"/>
      <c r="BL129" s="173"/>
      <c r="BM129" s="173"/>
      <c r="BN129"/>
      <c r="BO129"/>
      <c r="BP129"/>
      <c r="BQ129"/>
    </row>
    <row r="130" spans="2:69" ht="25" customHeight="1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 s="173"/>
      <c r="AQ130"/>
      <c r="AR130"/>
      <c r="AS130"/>
      <c r="AT130"/>
      <c r="AU130"/>
      <c r="AV130"/>
      <c r="AW130"/>
      <c r="AX130"/>
      <c r="AY130"/>
      <c r="AZ130"/>
      <c r="BA130"/>
      <c r="BB130" s="173"/>
      <c r="BC130" s="173"/>
      <c r="BD130" s="173"/>
      <c r="BE130" s="173"/>
      <c r="BF130" s="173"/>
      <c r="BG130" s="173"/>
      <c r="BH130" s="173"/>
      <c r="BI130" s="173"/>
      <c r="BJ130" s="173"/>
      <c r="BK130" s="173"/>
      <c r="BL130" s="173"/>
      <c r="BM130" s="173"/>
      <c r="BN130"/>
      <c r="BO130"/>
      <c r="BP130"/>
      <c r="BQ130"/>
    </row>
    <row r="131" spans="2:69" ht="25" customHeight="1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 s="173"/>
      <c r="AQ131"/>
      <c r="AR131"/>
      <c r="AS131"/>
      <c r="AT131"/>
      <c r="AU131"/>
      <c r="AV131"/>
      <c r="AW131"/>
      <c r="AX131"/>
      <c r="AY131"/>
      <c r="AZ131"/>
      <c r="BA131"/>
      <c r="BB131" s="173"/>
      <c r="BC131" s="173"/>
      <c r="BD131" s="173"/>
      <c r="BE131" s="173"/>
      <c r="BF131" s="173"/>
      <c r="BG131" s="173"/>
      <c r="BH131" s="173"/>
      <c r="BI131" s="173"/>
      <c r="BJ131" s="173"/>
      <c r="BK131" s="173"/>
      <c r="BL131" s="173"/>
      <c r="BM131" s="173"/>
      <c r="BN131"/>
      <c r="BO131"/>
      <c r="BP131"/>
      <c r="BQ131"/>
    </row>
    <row r="132" spans="2:69" ht="25" customHeight="1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 s="173"/>
      <c r="AQ132"/>
      <c r="AR132"/>
      <c r="AS132"/>
      <c r="AT132"/>
      <c r="AU132"/>
      <c r="AV132"/>
      <c r="AW132"/>
      <c r="AX132"/>
      <c r="AY132"/>
      <c r="AZ132"/>
      <c r="BA132"/>
      <c r="BB132" s="173"/>
      <c r="BC132" s="173"/>
      <c r="BD132" s="173"/>
      <c r="BE132" s="173"/>
      <c r="BF132" s="173"/>
      <c r="BG132" s="173"/>
      <c r="BH132" s="173"/>
      <c r="BI132" s="173"/>
      <c r="BJ132" s="173"/>
      <c r="BK132" s="173"/>
      <c r="BL132" s="173"/>
      <c r="BM132" s="173"/>
      <c r="BN132"/>
      <c r="BO132"/>
      <c r="BP132"/>
      <c r="BQ132"/>
    </row>
    <row r="133" spans="2:69" ht="25" customHeight="1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 s="173"/>
      <c r="AQ133"/>
      <c r="AR133"/>
      <c r="AS133"/>
      <c r="AT133"/>
      <c r="AU133"/>
      <c r="AV133"/>
      <c r="AW133"/>
      <c r="AX133"/>
      <c r="AY133"/>
      <c r="AZ133"/>
      <c r="BA133"/>
      <c r="BB133" s="173"/>
      <c r="BC133" s="173"/>
      <c r="BD133" s="173"/>
      <c r="BE133" s="173"/>
      <c r="BF133" s="173"/>
      <c r="BG133" s="173"/>
      <c r="BH133" s="173"/>
      <c r="BI133" s="173"/>
      <c r="BJ133" s="173"/>
      <c r="BK133" s="173"/>
      <c r="BL133" s="173"/>
      <c r="BM133" s="173"/>
      <c r="BN133"/>
      <c r="BO133"/>
      <c r="BP133"/>
      <c r="BQ133"/>
    </row>
    <row r="134" spans="2:69" ht="25" customHeight="1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 s="173"/>
      <c r="AQ134"/>
      <c r="AR134"/>
      <c r="AS134"/>
      <c r="AT134"/>
      <c r="AU134"/>
      <c r="AV134"/>
      <c r="AW134"/>
      <c r="AX134"/>
      <c r="AY134"/>
      <c r="AZ134"/>
      <c r="BA134"/>
      <c r="BB134" s="173"/>
      <c r="BC134" s="173"/>
      <c r="BD134" s="173"/>
      <c r="BE134" s="173"/>
      <c r="BF134" s="173"/>
      <c r="BG134" s="173"/>
      <c r="BH134" s="173"/>
      <c r="BI134" s="173"/>
      <c r="BJ134" s="173"/>
      <c r="BK134" s="173"/>
      <c r="BL134" s="173"/>
      <c r="BM134" s="173"/>
      <c r="BN134"/>
      <c r="BO134"/>
      <c r="BP134"/>
      <c r="BQ134"/>
    </row>
    <row r="135" spans="2:69" ht="25" customHeight="1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 s="173"/>
      <c r="AQ135"/>
      <c r="AR135"/>
      <c r="AS135"/>
      <c r="AT135"/>
      <c r="AU135"/>
      <c r="AV135"/>
      <c r="AW135"/>
      <c r="AX135"/>
      <c r="AY135"/>
      <c r="AZ135"/>
      <c r="BA135"/>
      <c r="BB135" s="173"/>
      <c r="BC135" s="173"/>
      <c r="BD135" s="173"/>
      <c r="BE135" s="173"/>
      <c r="BF135" s="173"/>
      <c r="BG135" s="173"/>
      <c r="BH135" s="173"/>
      <c r="BI135" s="173"/>
      <c r="BJ135" s="173"/>
      <c r="BK135" s="173"/>
      <c r="BL135" s="173"/>
      <c r="BM135" s="173"/>
      <c r="BN135"/>
      <c r="BO135"/>
      <c r="BP135"/>
      <c r="BQ135"/>
    </row>
    <row r="136" spans="2:69" ht="25" customHeight="1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 s="173"/>
      <c r="AQ136"/>
      <c r="AR136"/>
      <c r="AS136"/>
      <c r="AT136"/>
      <c r="AU136"/>
      <c r="AV136"/>
      <c r="AW136"/>
      <c r="AX136"/>
      <c r="AY136"/>
      <c r="AZ136"/>
      <c r="BA136"/>
      <c r="BB136" s="173"/>
      <c r="BC136" s="173"/>
      <c r="BD136" s="173"/>
      <c r="BE136" s="173"/>
      <c r="BF136" s="173"/>
      <c r="BG136" s="173"/>
      <c r="BH136" s="173"/>
      <c r="BI136" s="173"/>
      <c r="BJ136" s="173"/>
      <c r="BK136" s="173"/>
      <c r="BL136" s="173"/>
      <c r="BM136" s="173"/>
      <c r="BN136"/>
      <c r="BO136"/>
      <c r="BP136"/>
      <c r="BQ136"/>
    </row>
    <row r="137" spans="2:69" ht="25" customHeight="1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 s="173"/>
      <c r="AQ137"/>
      <c r="AR137"/>
      <c r="AS137"/>
      <c r="AT137"/>
      <c r="AU137"/>
      <c r="AV137"/>
      <c r="AW137"/>
      <c r="AX137"/>
      <c r="AY137"/>
      <c r="AZ137"/>
      <c r="BA137"/>
      <c r="BB137" s="173"/>
      <c r="BC137" s="173"/>
      <c r="BD137" s="173"/>
      <c r="BE137" s="173"/>
      <c r="BF137" s="173"/>
      <c r="BG137" s="173"/>
      <c r="BH137" s="173"/>
      <c r="BI137" s="173"/>
      <c r="BJ137" s="173"/>
      <c r="BK137" s="173"/>
      <c r="BL137" s="173"/>
      <c r="BM137" s="173"/>
      <c r="BN137"/>
      <c r="BO137"/>
      <c r="BP137"/>
      <c r="BQ137"/>
    </row>
    <row r="138" spans="2:69" ht="25" customHeight="1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 s="173"/>
      <c r="AQ138"/>
      <c r="AR138"/>
      <c r="AS138"/>
      <c r="AT138"/>
      <c r="AU138"/>
      <c r="AV138"/>
      <c r="AW138"/>
      <c r="AX138"/>
      <c r="AY138"/>
      <c r="AZ138"/>
      <c r="BA138"/>
      <c r="BB138" s="173"/>
      <c r="BC138" s="173"/>
      <c r="BD138" s="173"/>
      <c r="BE138" s="173"/>
      <c r="BF138" s="173"/>
      <c r="BG138" s="173"/>
      <c r="BH138" s="173"/>
      <c r="BI138" s="173"/>
      <c r="BJ138" s="173"/>
      <c r="BK138" s="173"/>
      <c r="BL138" s="173"/>
      <c r="BM138" s="173"/>
      <c r="BN138"/>
      <c r="BO138"/>
      <c r="BP138"/>
      <c r="BQ138"/>
    </row>
    <row r="139" spans="2:69" ht="25" customHeight="1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 s="173"/>
      <c r="AQ139"/>
      <c r="AR139"/>
      <c r="AS139"/>
      <c r="AT139"/>
      <c r="AU139"/>
      <c r="AV139"/>
      <c r="AW139"/>
      <c r="AX139"/>
      <c r="AY139"/>
      <c r="AZ139"/>
      <c r="BA139"/>
      <c r="BB139" s="173"/>
      <c r="BC139" s="173"/>
      <c r="BD139" s="173"/>
      <c r="BE139" s="173"/>
      <c r="BF139" s="173"/>
      <c r="BG139" s="173"/>
      <c r="BH139" s="173"/>
      <c r="BI139" s="173"/>
      <c r="BJ139" s="173"/>
      <c r="BK139" s="173"/>
      <c r="BL139" s="173"/>
      <c r="BM139" s="173"/>
      <c r="BN139"/>
      <c r="BO139"/>
      <c r="BP139"/>
      <c r="BQ139"/>
    </row>
    <row r="140" spans="2:69" ht="25" customHeight="1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 s="173"/>
      <c r="AQ140"/>
      <c r="AR140"/>
      <c r="AS140"/>
      <c r="AT140"/>
      <c r="AU140"/>
      <c r="AV140"/>
      <c r="AW140"/>
      <c r="AX140"/>
      <c r="AY140"/>
      <c r="AZ140"/>
      <c r="BA140"/>
      <c r="BB140" s="173"/>
      <c r="BC140" s="173"/>
      <c r="BD140" s="173"/>
      <c r="BE140" s="173"/>
      <c r="BF140" s="173"/>
      <c r="BG140" s="173"/>
      <c r="BH140" s="173"/>
      <c r="BI140" s="173"/>
      <c r="BJ140" s="173"/>
      <c r="BK140" s="173"/>
      <c r="BL140" s="173"/>
      <c r="BM140" s="173"/>
      <c r="BN140"/>
      <c r="BO140"/>
      <c r="BP140"/>
      <c r="BQ140"/>
    </row>
    <row r="141" spans="2:69" ht="25" customHeight="1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 s="173"/>
      <c r="AQ141"/>
      <c r="AR141"/>
      <c r="AS141"/>
      <c r="AT141"/>
      <c r="AU141"/>
      <c r="AV141"/>
      <c r="AW141"/>
      <c r="AX141"/>
      <c r="AY141"/>
      <c r="AZ141"/>
      <c r="BA141"/>
      <c r="BB141" s="173"/>
      <c r="BC141" s="173"/>
      <c r="BD141" s="173"/>
      <c r="BE141" s="173"/>
      <c r="BF141" s="173"/>
      <c r="BG141" s="173"/>
      <c r="BH141" s="173"/>
      <c r="BI141" s="173"/>
      <c r="BJ141" s="173"/>
      <c r="BK141" s="173"/>
      <c r="BL141" s="173"/>
      <c r="BM141" s="173"/>
      <c r="BN141"/>
      <c r="BO141"/>
      <c r="BP141"/>
      <c r="BQ141"/>
    </row>
    <row r="142" spans="2:69" ht="25" customHeight="1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 s="173"/>
      <c r="AQ142"/>
      <c r="AR142"/>
      <c r="AS142"/>
      <c r="AT142"/>
      <c r="AU142"/>
      <c r="AV142"/>
      <c r="AW142"/>
      <c r="AX142"/>
      <c r="AY142"/>
      <c r="AZ142"/>
      <c r="BA142"/>
      <c r="BB142" s="173"/>
      <c r="BC142" s="173"/>
      <c r="BD142" s="173"/>
      <c r="BE142" s="173"/>
      <c r="BF142" s="173"/>
      <c r="BG142" s="173"/>
      <c r="BH142" s="173"/>
      <c r="BI142" s="173"/>
      <c r="BJ142" s="173"/>
      <c r="BK142" s="173"/>
      <c r="BL142" s="173"/>
      <c r="BM142" s="173"/>
      <c r="BN142"/>
      <c r="BO142"/>
      <c r="BP142"/>
      <c r="BQ142"/>
    </row>
    <row r="143" spans="2:69" ht="25" customHeight="1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 s="173"/>
      <c r="AQ143"/>
      <c r="AR143"/>
      <c r="AS143"/>
      <c r="AT143"/>
      <c r="AU143"/>
      <c r="AV143"/>
      <c r="AW143"/>
      <c r="AX143"/>
      <c r="AY143"/>
      <c r="AZ143"/>
      <c r="BA143"/>
      <c r="BB143" s="173"/>
      <c r="BC143" s="173"/>
      <c r="BD143" s="173"/>
      <c r="BE143" s="173"/>
      <c r="BF143" s="173"/>
      <c r="BG143" s="173"/>
      <c r="BH143" s="173"/>
      <c r="BI143" s="173"/>
      <c r="BJ143" s="173"/>
      <c r="BK143" s="173"/>
      <c r="BL143" s="173"/>
      <c r="BM143" s="173"/>
      <c r="BN143"/>
      <c r="BO143"/>
      <c r="BP143"/>
      <c r="BQ143"/>
    </row>
    <row r="144" spans="2:69" ht="25" customHeight="1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 s="173"/>
      <c r="AQ144"/>
      <c r="AR144"/>
      <c r="AS144"/>
      <c r="AT144"/>
      <c r="AU144"/>
      <c r="AV144"/>
      <c r="AW144"/>
      <c r="AX144"/>
      <c r="AY144"/>
      <c r="AZ144"/>
      <c r="BA144"/>
      <c r="BB144" s="173"/>
      <c r="BC144" s="173"/>
      <c r="BD144" s="173"/>
      <c r="BE144" s="173"/>
      <c r="BF144" s="173"/>
      <c r="BG144" s="173"/>
      <c r="BH144" s="173"/>
      <c r="BI144" s="173"/>
      <c r="BJ144" s="173"/>
      <c r="BK144" s="173"/>
      <c r="BL144" s="173"/>
      <c r="BM144" s="173"/>
      <c r="BN144"/>
      <c r="BO144"/>
      <c r="BP144"/>
      <c r="BQ144"/>
    </row>
    <row r="145" spans="2:69" ht="25" customHeight="1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 s="173"/>
      <c r="AQ145"/>
      <c r="AR145"/>
      <c r="AS145"/>
      <c r="AT145"/>
      <c r="AU145"/>
      <c r="AV145"/>
      <c r="AW145"/>
      <c r="AX145"/>
      <c r="AY145"/>
      <c r="AZ145"/>
      <c r="BA145"/>
      <c r="BB145" s="173"/>
      <c r="BC145" s="173"/>
      <c r="BD145" s="173"/>
      <c r="BE145" s="173"/>
      <c r="BF145" s="173"/>
      <c r="BG145" s="173"/>
      <c r="BH145" s="173"/>
      <c r="BI145" s="173"/>
      <c r="BJ145" s="173"/>
      <c r="BK145" s="173"/>
      <c r="BL145" s="173"/>
      <c r="BM145" s="173"/>
      <c r="BN145"/>
      <c r="BO145"/>
      <c r="BP145"/>
      <c r="BQ145"/>
    </row>
    <row r="146" spans="2:69" ht="25" customHeight="1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 s="173"/>
      <c r="AQ146"/>
      <c r="AR146"/>
      <c r="AS146"/>
      <c r="AT146"/>
      <c r="AU146"/>
      <c r="AV146"/>
      <c r="AW146"/>
      <c r="AX146"/>
      <c r="AY146"/>
      <c r="AZ146"/>
      <c r="BA146"/>
      <c r="BB146" s="173"/>
      <c r="BC146" s="173"/>
      <c r="BD146" s="173"/>
      <c r="BE146" s="173"/>
      <c r="BF146" s="173"/>
      <c r="BG146" s="173"/>
      <c r="BH146" s="173"/>
      <c r="BI146" s="173"/>
      <c r="BJ146" s="173"/>
      <c r="BK146" s="173"/>
      <c r="BL146" s="173"/>
      <c r="BM146" s="173"/>
      <c r="BN146"/>
      <c r="BO146"/>
      <c r="BP146"/>
      <c r="BQ146"/>
    </row>
    <row r="147" spans="2:69" ht="25" customHeight="1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 s="173"/>
      <c r="AQ147"/>
      <c r="AR147"/>
      <c r="AS147"/>
      <c r="AT147"/>
      <c r="AU147"/>
      <c r="AV147"/>
      <c r="AW147"/>
      <c r="AX147"/>
      <c r="AY147"/>
      <c r="AZ147"/>
      <c r="BA147"/>
      <c r="BB147" s="173"/>
      <c r="BC147" s="173"/>
      <c r="BD147" s="173"/>
      <c r="BE147" s="173"/>
      <c r="BF147" s="173"/>
      <c r="BG147" s="173"/>
      <c r="BH147" s="173"/>
      <c r="BI147" s="173"/>
      <c r="BJ147" s="173"/>
      <c r="BK147" s="173"/>
      <c r="BL147" s="173"/>
      <c r="BM147" s="173"/>
      <c r="BN147"/>
      <c r="BO147"/>
      <c r="BP147"/>
      <c r="BQ147"/>
    </row>
    <row r="148" spans="2:69" ht="25" customHeight="1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 s="173"/>
      <c r="AQ148"/>
      <c r="AR148"/>
      <c r="AS148"/>
      <c r="AT148"/>
      <c r="AU148"/>
      <c r="AV148"/>
      <c r="AW148"/>
      <c r="AX148"/>
      <c r="AY148"/>
      <c r="AZ148"/>
      <c r="BA148"/>
      <c r="BB148" s="173"/>
      <c r="BC148" s="173"/>
      <c r="BD148" s="173"/>
      <c r="BE148" s="173"/>
      <c r="BF148" s="173"/>
      <c r="BG148" s="173"/>
      <c r="BH148" s="173"/>
      <c r="BI148" s="173"/>
      <c r="BJ148" s="173"/>
      <c r="BK148" s="173"/>
      <c r="BL148" s="173"/>
      <c r="BM148" s="173"/>
      <c r="BN148"/>
      <c r="BO148"/>
      <c r="BP148"/>
      <c r="BQ148"/>
    </row>
    <row r="149" spans="2:69" ht="25" customHeight="1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 s="173"/>
      <c r="AQ149"/>
      <c r="AR149"/>
      <c r="AS149"/>
      <c r="AT149"/>
      <c r="AU149"/>
      <c r="AV149"/>
      <c r="AW149"/>
      <c r="AX149"/>
      <c r="AY149"/>
      <c r="AZ149"/>
      <c r="BA149"/>
      <c r="BB149" s="173"/>
      <c r="BC149" s="173"/>
      <c r="BD149" s="173"/>
      <c r="BE149" s="173"/>
      <c r="BF149" s="173"/>
      <c r="BG149" s="173"/>
      <c r="BH149" s="173"/>
      <c r="BI149" s="173"/>
      <c r="BJ149" s="173"/>
      <c r="BK149" s="173"/>
      <c r="BL149" s="173"/>
      <c r="BM149" s="173"/>
      <c r="BN149"/>
      <c r="BO149"/>
      <c r="BP149"/>
      <c r="BQ149"/>
    </row>
    <row r="150" spans="2:69" ht="25" customHeight="1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 s="173"/>
      <c r="AQ150"/>
      <c r="AR150"/>
      <c r="AS150"/>
      <c r="AT150"/>
      <c r="AU150"/>
      <c r="AV150"/>
      <c r="AW150"/>
      <c r="AX150"/>
      <c r="AY150"/>
      <c r="AZ150"/>
      <c r="BA150"/>
      <c r="BB150" s="173"/>
      <c r="BC150" s="173"/>
      <c r="BD150" s="173"/>
      <c r="BE150" s="173"/>
      <c r="BF150" s="173"/>
      <c r="BG150" s="173"/>
      <c r="BH150" s="173"/>
      <c r="BI150" s="173"/>
      <c r="BJ150" s="173"/>
      <c r="BK150" s="173"/>
      <c r="BL150" s="173"/>
      <c r="BM150" s="173"/>
      <c r="BN150"/>
      <c r="BO150"/>
      <c r="BP150"/>
      <c r="BQ150"/>
    </row>
    <row r="151" spans="2:69" ht="25" customHeight="1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 s="173"/>
      <c r="AQ151"/>
      <c r="AR151"/>
      <c r="AS151"/>
      <c r="AT151"/>
      <c r="AU151"/>
      <c r="AV151"/>
      <c r="AW151"/>
      <c r="AX151"/>
      <c r="AY151"/>
      <c r="AZ151"/>
      <c r="BA151"/>
      <c r="BB151" s="173"/>
      <c r="BC151" s="173"/>
      <c r="BD151" s="173"/>
      <c r="BE151" s="173"/>
      <c r="BF151" s="173"/>
      <c r="BG151" s="173"/>
      <c r="BH151" s="173"/>
      <c r="BI151" s="173"/>
      <c r="BJ151" s="173"/>
      <c r="BK151" s="173"/>
      <c r="BL151" s="173"/>
      <c r="BM151" s="173"/>
      <c r="BN151"/>
      <c r="BO151"/>
      <c r="BP151"/>
      <c r="BQ151"/>
    </row>
    <row r="152" spans="2:69" ht="25" customHeight="1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 s="173"/>
      <c r="AQ152"/>
      <c r="AR152"/>
      <c r="AS152"/>
      <c r="AT152"/>
      <c r="AU152"/>
      <c r="AV152"/>
      <c r="AW152"/>
      <c r="AX152"/>
      <c r="AY152"/>
      <c r="AZ152"/>
      <c r="BA152"/>
      <c r="BB152" s="173"/>
      <c r="BC152" s="173"/>
      <c r="BD152" s="173"/>
      <c r="BE152" s="173"/>
      <c r="BF152" s="173"/>
      <c r="BG152" s="173"/>
      <c r="BH152" s="173"/>
      <c r="BI152" s="173"/>
      <c r="BJ152" s="173"/>
      <c r="BK152" s="173"/>
      <c r="BL152" s="173"/>
      <c r="BM152" s="173"/>
      <c r="BN152"/>
      <c r="BO152"/>
      <c r="BP152"/>
      <c r="BQ152"/>
    </row>
    <row r="153" spans="2:69" ht="25" customHeight="1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 s="173"/>
      <c r="AQ153"/>
      <c r="AR153"/>
      <c r="AS153"/>
      <c r="AT153"/>
      <c r="AU153"/>
      <c r="AV153"/>
      <c r="AW153"/>
      <c r="AX153"/>
      <c r="AY153"/>
      <c r="AZ153"/>
      <c r="BA153"/>
      <c r="BB153" s="173"/>
      <c r="BC153" s="173"/>
      <c r="BD153" s="173"/>
      <c r="BE153" s="173"/>
      <c r="BF153" s="173"/>
      <c r="BG153" s="173"/>
      <c r="BH153" s="173"/>
      <c r="BI153" s="173"/>
      <c r="BJ153" s="173"/>
      <c r="BK153" s="173"/>
      <c r="BL153" s="173"/>
      <c r="BM153" s="173"/>
      <c r="BN153"/>
      <c r="BO153"/>
      <c r="BP153"/>
      <c r="BQ153"/>
    </row>
    <row r="154" spans="2:69" ht="25" customHeight="1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 s="173"/>
      <c r="AQ154"/>
      <c r="AR154"/>
      <c r="AS154"/>
      <c r="AT154"/>
      <c r="AU154"/>
      <c r="AV154"/>
      <c r="AW154"/>
      <c r="AX154"/>
      <c r="AY154"/>
      <c r="AZ154"/>
      <c r="BA154"/>
      <c r="BB154" s="173"/>
      <c r="BC154" s="173"/>
      <c r="BD154" s="173"/>
      <c r="BE154" s="173"/>
      <c r="BF154" s="173"/>
      <c r="BG154" s="173"/>
      <c r="BH154" s="173"/>
      <c r="BI154" s="173"/>
      <c r="BJ154" s="173"/>
      <c r="BK154" s="173"/>
      <c r="BL154" s="173"/>
      <c r="BM154" s="173"/>
      <c r="BN154"/>
      <c r="BO154"/>
      <c r="BP154"/>
      <c r="BQ154"/>
    </row>
    <row r="155" spans="2:69" ht="25" customHeight="1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 s="173"/>
      <c r="AQ155"/>
      <c r="AR155"/>
      <c r="AS155"/>
      <c r="AT155"/>
      <c r="AU155"/>
      <c r="AV155"/>
      <c r="AW155"/>
      <c r="AX155"/>
      <c r="AY155"/>
      <c r="AZ155"/>
      <c r="BA155"/>
      <c r="BB155" s="173"/>
      <c r="BC155" s="173"/>
      <c r="BD155" s="173"/>
      <c r="BE155" s="173"/>
      <c r="BF155" s="173"/>
      <c r="BG155" s="173"/>
      <c r="BH155" s="173"/>
      <c r="BI155" s="173"/>
      <c r="BJ155" s="173"/>
      <c r="BK155" s="173"/>
      <c r="BL155" s="173"/>
      <c r="BM155" s="173"/>
      <c r="BN155"/>
      <c r="BO155"/>
      <c r="BP155"/>
      <c r="BQ155"/>
    </row>
    <row r="156" spans="2:69" ht="25" customHeight="1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 s="173"/>
      <c r="AQ156"/>
      <c r="AR156"/>
      <c r="AS156"/>
      <c r="AT156"/>
      <c r="AU156"/>
      <c r="AV156"/>
      <c r="AW156"/>
      <c r="AX156"/>
      <c r="AY156"/>
      <c r="AZ156"/>
      <c r="BA156"/>
      <c r="BB156" s="173"/>
      <c r="BC156" s="173"/>
      <c r="BD156" s="173"/>
      <c r="BE156" s="173"/>
      <c r="BF156" s="173"/>
      <c r="BG156" s="173"/>
      <c r="BH156" s="173"/>
      <c r="BI156" s="173"/>
      <c r="BJ156" s="173"/>
      <c r="BK156" s="173"/>
      <c r="BL156" s="173"/>
      <c r="BM156" s="173"/>
      <c r="BN156"/>
      <c r="BO156"/>
      <c r="BP156"/>
      <c r="BQ156"/>
    </row>
    <row r="157" spans="2:69" ht="25" customHeight="1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 s="173"/>
      <c r="AQ157"/>
      <c r="AR157"/>
      <c r="AS157"/>
      <c r="AT157"/>
      <c r="AU157"/>
      <c r="AV157"/>
      <c r="AW157"/>
      <c r="AX157"/>
      <c r="AY157"/>
      <c r="AZ157"/>
      <c r="BA157"/>
      <c r="BB157" s="173"/>
      <c r="BC157" s="173"/>
      <c r="BD157" s="173"/>
      <c r="BE157" s="173"/>
      <c r="BF157" s="173"/>
      <c r="BG157" s="173"/>
      <c r="BH157" s="173"/>
      <c r="BI157" s="173"/>
      <c r="BJ157" s="173"/>
      <c r="BK157" s="173"/>
      <c r="BL157" s="173"/>
      <c r="BM157" s="173"/>
      <c r="BN157"/>
      <c r="BO157"/>
      <c r="BP157"/>
      <c r="BQ157"/>
    </row>
    <row r="158" spans="2:69" ht="25" customHeight="1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 s="173"/>
      <c r="AQ158"/>
      <c r="AR158"/>
      <c r="AS158"/>
      <c r="AT158"/>
      <c r="AU158"/>
      <c r="AV158"/>
      <c r="AW158"/>
      <c r="AX158"/>
      <c r="AY158"/>
      <c r="AZ158"/>
      <c r="BA158"/>
      <c r="BB158" s="173"/>
      <c r="BC158" s="173"/>
      <c r="BD158" s="173"/>
      <c r="BE158" s="173"/>
      <c r="BF158" s="173"/>
      <c r="BG158" s="173"/>
      <c r="BH158" s="173"/>
      <c r="BI158" s="173"/>
      <c r="BJ158" s="173"/>
      <c r="BK158" s="173"/>
      <c r="BL158" s="173"/>
      <c r="BM158" s="173"/>
      <c r="BN158"/>
      <c r="BO158"/>
      <c r="BP158"/>
      <c r="BQ158"/>
    </row>
    <row r="159" spans="2:69" ht="25" customHeight="1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 s="173"/>
      <c r="AQ159"/>
      <c r="AR159"/>
      <c r="AS159"/>
      <c r="AT159"/>
      <c r="AU159"/>
      <c r="AV159"/>
      <c r="AW159"/>
      <c r="AX159"/>
      <c r="AY159"/>
      <c r="AZ159"/>
      <c r="BA159"/>
      <c r="BB159" s="173"/>
      <c r="BC159" s="173"/>
      <c r="BD159" s="173"/>
      <c r="BE159" s="173"/>
      <c r="BF159" s="173"/>
      <c r="BG159" s="173"/>
      <c r="BH159" s="173"/>
      <c r="BI159" s="173"/>
      <c r="BJ159" s="173"/>
      <c r="BK159" s="173"/>
      <c r="BL159" s="173"/>
      <c r="BM159" s="173"/>
      <c r="BN159"/>
      <c r="BO159"/>
      <c r="BP159"/>
      <c r="BQ159"/>
    </row>
    <row r="160" spans="2:69" ht="25" customHeight="1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 s="173"/>
      <c r="AQ160"/>
      <c r="AR160"/>
      <c r="AS160"/>
      <c r="AT160"/>
      <c r="AU160"/>
      <c r="AV160"/>
      <c r="AW160"/>
      <c r="AX160"/>
      <c r="AY160"/>
      <c r="AZ160"/>
      <c r="BA160"/>
      <c r="BB160" s="173"/>
      <c r="BC160" s="173"/>
      <c r="BD160" s="173"/>
      <c r="BE160" s="173"/>
      <c r="BF160" s="173"/>
      <c r="BG160" s="173"/>
      <c r="BH160" s="173"/>
      <c r="BI160" s="173"/>
      <c r="BJ160" s="173"/>
      <c r="BK160" s="173"/>
      <c r="BL160" s="173"/>
      <c r="BM160" s="173"/>
      <c r="BN160"/>
      <c r="BO160"/>
      <c r="BP160"/>
      <c r="BQ160"/>
    </row>
    <row r="161" spans="2:69" ht="25" customHeight="1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 s="173"/>
      <c r="AQ161"/>
      <c r="AR161"/>
      <c r="AS161"/>
      <c r="AT161"/>
      <c r="AU161"/>
      <c r="AV161"/>
      <c r="AW161"/>
      <c r="AX161"/>
      <c r="AY161"/>
      <c r="AZ161"/>
      <c r="BA161"/>
      <c r="BB161" s="173"/>
      <c r="BC161" s="173"/>
      <c r="BD161" s="173"/>
      <c r="BE161" s="173"/>
      <c r="BF161" s="173"/>
      <c r="BG161" s="173"/>
      <c r="BH161" s="173"/>
      <c r="BI161" s="173"/>
      <c r="BJ161" s="173"/>
      <c r="BK161" s="173"/>
      <c r="BL161" s="173"/>
      <c r="BM161" s="173"/>
      <c r="BN161"/>
      <c r="BO161"/>
      <c r="BP161"/>
      <c r="BQ161"/>
    </row>
    <row r="162" spans="2:69" ht="25" customHeight="1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 s="173"/>
      <c r="AQ162"/>
      <c r="AR162"/>
      <c r="AS162"/>
      <c r="AT162"/>
      <c r="AU162"/>
      <c r="AV162"/>
      <c r="AW162"/>
      <c r="AX162"/>
      <c r="AY162"/>
      <c r="AZ162"/>
      <c r="BA162"/>
      <c r="BB162" s="173"/>
      <c r="BC162" s="173"/>
      <c r="BD162" s="173"/>
      <c r="BE162" s="173"/>
      <c r="BF162" s="173"/>
      <c r="BG162" s="173"/>
      <c r="BH162" s="173"/>
      <c r="BI162" s="173"/>
      <c r="BJ162" s="173"/>
      <c r="BK162" s="173"/>
      <c r="BL162" s="173"/>
      <c r="BM162" s="173"/>
      <c r="BN162"/>
      <c r="BO162"/>
      <c r="BP162"/>
      <c r="BQ162"/>
    </row>
    <row r="163" spans="2:69" ht="25" customHeight="1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 s="173"/>
      <c r="AQ163"/>
      <c r="AR163"/>
      <c r="AS163"/>
      <c r="AT163"/>
      <c r="AU163"/>
      <c r="AV163"/>
      <c r="AW163"/>
      <c r="AX163"/>
      <c r="AY163"/>
      <c r="AZ163"/>
      <c r="BA163"/>
      <c r="BB163" s="173"/>
      <c r="BC163" s="173"/>
      <c r="BD163" s="173"/>
      <c r="BE163" s="173"/>
      <c r="BF163" s="173"/>
      <c r="BG163" s="173"/>
      <c r="BH163" s="173"/>
      <c r="BI163" s="173"/>
      <c r="BJ163" s="173"/>
      <c r="BK163" s="173"/>
      <c r="BL163" s="173"/>
      <c r="BM163" s="173"/>
      <c r="BN163"/>
      <c r="BO163"/>
      <c r="BP163"/>
      <c r="BQ163"/>
    </row>
    <row r="164" spans="2:69" ht="25" customHeight="1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 s="173"/>
      <c r="AQ164"/>
      <c r="AR164"/>
      <c r="AS164"/>
      <c r="AT164"/>
      <c r="AU164"/>
      <c r="AV164"/>
      <c r="AW164"/>
      <c r="AX164"/>
      <c r="AY164"/>
      <c r="AZ164"/>
      <c r="BA164"/>
      <c r="BB164" s="173"/>
      <c r="BC164" s="173"/>
      <c r="BD164" s="173"/>
      <c r="BE164" s="173"/>
      <c r="BF164" s="173"/>
      <c r="BG164" s="173"/>
      <c r="BH164" s="173"/>
      <c r="BI164" s="173"/>
      <c r="BJ164" s="173"/>
      <c r="BK164" s="173"/>
      <c r="BL164" s="173"/>
      <c r="BM164" s="173"/>
      <c r="BN164"/>
      <c r="BO164"/>
      <c r="BP164"/>
      <c r="BQ164"/>
    </row>
    <row r="165" spans="2:69" ht="25" customHeight="1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 s="173"/>
      <c r="AQ165"/>
      <c r="AR165"/>
      <c r="AS165"/>
      <c r="AT165"/>
      <c r="AU165"/>
      <c r="AV165"/>
      <c r="AW165"/>
      <c r="AX165"/>
      <c r="AY165"/>
      <c r="AZ165"/>
      <c r="BA165"/>
      <c r="BB165" s="173"/>
      <c r="BC165" s="173"/>
      <c r="BD165" s="173"/>
      <c r="BE165" s="173"/>
      <c r="BF165" s="173"/>
      <c r="BG165" s="173"/>
      <c r="BH165" s="173"/>
      <c r="BI165" s="173"/>
      <c r="BJ165" s="173"/>
      <c r="BK165" s="173"/>
      <c r="BL165" s="173"/>
      <c r="BM165" s="173"/>
      <c r="BN165"/>
      <c r="BO165"/>
      <c r="BP165"/>
      <c r="BQ165"/>
    </row>
    <row r="166" spans="2:69" ht="25" customHeight="1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 s="173"/>
      <c r="AQ166"/>
      <c r="AR166"/>
      <c r="AS166"/>
      <c r="AT166"/>
      <c r="AU166"/>
      <c r="AV166"/>
      <c r="AW166"/>
      <c r="AX166"/>
      <c r="AY166"/>
      <c r="AZ166"/>
      <c r="BA166"/>
      <c r="BB166" s="173"/>
      <c r="BC166" s="173"/>
      <c r="BD166" s="173"/>
      <c r="BE166" s="173"/>
      <c r="BF166" s="173"/>
      <c r="BG166" s="173"/>
      <c r="BH166" s="173"/>
      <c r="BI166" s="173"/>
      <c r="BJ166" s="173"/>
      <c r="BK166" s="173"/>
      <c r="BL166" s="173"/>
      <c r="BM166" s="173"/>
      <c r="BN166"/>
      <c r="BO166"/>
      <c r="BP166"/>
      <c r="BQ166"/>
    </row>
    <row r="167" spans="2:69" ht="25" customHeight="1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 s="173"/>
      <c r="AQ167"/>
      <c r="AR167"/>
      <c r="AS167"/>
      <c r="AT167"/>
      <c r="AU167"/>
      <c r="AV167"/>
      <c r="AW167"/>
      <c r="AX167"/>
      <c r="AY167"/>
      <c r="AZ167"/>
      <c r="BA167"/>
      <c r="BB167" s="173"/>
      <c r="BC167" s="173"/>
      <c r="BD167" s="173"/>
      <c r="BE167" s="173"/>
      <c r="BF167" s="173"/>
      <c r="BG167" s="173"/>
      <c r="BH167" s="173"/>
      <c r="BI167" s="173"/>
      <c r="BJ167" s="173"/>
      <c r="BK167" s="173"/>
      <c r="BL167" s="173"/>
      <c r="BM167" s="173"/>
      <c r="BN167"/>
      <c r="BO167"/>
      <c r="BP167"/>
      <c r="BQ167"/>
    </row>
    <row r="168" spans="2:69" ht="25" customHeight="1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 s="173"/>
      <c r="AQ168"/>
      <c r="AR168"/>
      <c r="AS168"/>
      <c r="AT168"/>
      <c r="AU168"/>
      <c r="AV168"/>
      <c r="AW168"/>
      <c r="AX168"/>
      <c r="AY168"/>
      <c r="AZ168"/>
      <c r="BA168"/>
      <c r="BB168" s="173"/>
      <c r="BC168" s="173"/>
      <c r="BD168" s="173"/>
      <c r="BE168" s="173"/>
      <c r="BF168" s="173"/>
      <c r="BG168" s="173"/>
      <c r="BH168" s="173"/>
      <c r="BI168" s="173"/>
      <c r="BJ168" s="173"/>
      <c r="BK168" s="173"/>
      <c r="BL168" s="173"/>
      <c r="BM168" s="173"/>
      <c r="BN168"/>
      <c r="BO168"/>
      <c r="BP168"/>
      <c r="BQ168"/>
    </row>
    <row r="169" spans="2:69" ht="25" customHeight="1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 s="173"/>
      <c r="AQ169"/>
      <c r="AR169"/>
      <c r="AS169"/>
      <c r="AT169"/>
      <c r="AU169"/>
      <c r="AV169"/>
      <c r="AW169"/>
      <c r="AX169"/>
      <c r="AY169"/>
      <c r="AZ169"/>
      <c r="BA169"/>
      <c r="BB169" s="173"/>
      <c r="BC169" s="173"/>
      <c r="BD169" s="173"/>
      <c r="BE169" s="173"/>
      <c r="BF169" s="173"/>
      <c r="BG169" s="173"/>
      <c r="BH169" s="173"/>
      <c r="BI169" s="173"/>
      <c r="BJ169" s="173"/>
      <c r="BK169" s="173"/>
      <c r="BL169" s="173"/>
      <c r="BM169" s="173"/>
      <c r="BN169"/>
      <c r="BO169"/>
      <c r="BP169"/>
      <c r="BQ169"/>
    </row>
    <row r="170" spans="2:69" ht="25" customHeight="1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 s="173"/>
      <c r="AQ170"/>
      <c r="AR170"/>
      <c r="AS170"/>
      <c r="AT170"/>
      <c r="AU170"/>
      <c r="AV170"/>
      <c r="AW170"/>
      <c r="AX170"/>
      <c r="AY170"/>
      <c r="AZ170"/>
      <c r="BA170"/>
      <c r="BB170" s="173"/>
      <c r="BC170" s="173"/>
      <c r="BD170" s="173"/>
      <c r="BE170" s="173"/>
      <c r="BF170" s="173"/>
      <c r="BG170" s="173"/>
      <c r="BH170" s="173"/>
      <c r="BI170" s="173"/>
      <c r="BJ170" s="173"/>
      <c r="BK170" s="173"/>
      <c r="BL170" s="173"/>
      <c r="BM170" s="173"/>
      <c r="BN170"/>
      <c r="BO170"/>
      <c r="BP170"/>
      <c r="BQ170"/>
    </row>
    <row r="171" spans="2:69" ht="25" customHeight="1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 s="173"/>
      <c r="AQ171"/>
      <c r="AR171"/>
      <c r="AS171"/>
      <c r="AT171"/>
      <c r="AU171"/>
      <c r="AV171"/>
      <c r="AW171"/>
      <c r="AX171"/>
      <c r="AY171"/>
      <c r="AZ171"/>
      <c r="BA171"/>
      <c r="BB171" s="173"/>
      <c r="BC171" s="173"/>
      <c r="BD171" s="173"/>
      <c r="BE171" s="173"/>
      <c r="BF171" s="173"/>
      <c r="BG171" s="173"/>
      <c r="BH171" s="173"/>
      <c r="BI171" s="173"/>
      <c r="BJ171" s="173"/>
      <c r="BK171" s="173"/>
      <c r="BL171" s="173"/>
      <c r="BM171" s="173"/>
      <c r="BN171"/>
      <c r="BO171"/>
      <c r="BP171"/>
      <c r="BQ171"/>
    </row>
    <row r="172" spans="2:69" ht="25" customHeight="1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 s="173"/>
      <c r="AQ172"/>
      <c r="AR172"/>
      <c r="AS172"/>
      <c r="AT172"/>
      <c r="AU172"/>
      <c r="AV172"/>
      <c r="AW172"/>
      <c r="AX172"/>
      <c r="AY172"/>
      <c r="AZ172"/>
      <c r="BA172"/>
      <c r="BB172" s="173"/>
      <c r="BC172" s="173"/>
      <c r="BD172" s="173"/>
      <c r="BE172" s="173"/>
      <c r="BF172" s="173"/>
      <c r="BG172" s="173"/>
      <c r="BH172" s="173"/>
      <c r="BI172" s="173"/>
      <c r="BJ172" s="173"/>
      <c r="BK172" s="173"/>
      <c r="BL172" s="173"/>
      <c r="BM172" s="173"/>
      <c r="BN172"/>
      <c r="BO172"/>
      <c r="BP172"/>
      <c r="BQ172"/>
    </row>
    <row r="173" spans="2:69" ht="25" customHeight="1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 s="173"/>
      <c r="AQ173"/>
      <c r="AR173"/>
      <c r="AS173"/>
      <c r="AT173"/>
      <c r="AU173"/>
      <c r="AV173"/>
      <c r="AW173"/>
      <c r="AX173"/>
      <c r="AY173"/>
      <c r="AZ173"/>
      <c r="BA173"/>
      <c r="BB173" s="173"/>
      <c r="BC173" s="173"/>
      <c r="BD173" s="173"/>
      <c r="BE173" s="173"/>
      <c r="BF173" s="173"/>
      <c r="BG173" s="173"/>
      <c r="BH173" s="173"/>
      <c r="BI173" s="173"/>
      <c r="BJ173" s="173"/>
      <c r="BK173" s="173"/>
      <c r="BL173" s="173"/>
      <c r="BM173" s="173"/>
      <c r="BN173"/>
      <c r="BO173"/>
      <c r="BP173"/>
      <c r="BQ173"/>
    </row>
    <row r="174" spans="2:69" ht="25" customHeight="1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 s="173"/>
      <c r="AQ174"/>
      <c r="AR174"/>
      <c r="AS174"/>
      <c r="AT174"/>
      <c r="AU174"/>
      <c r="AV174"/>
      <c r="AW174"/>
      <c r="AX174"/>
      <c r="AY174"/>
      <c r="AZ174"/>
      <c r="BA174"/>
      <c r="BB174" s="173"/>
      <c r="BC174" s="173"/>
      <c r="BD174" s="173"/>
      <c r="BE174" s="173"/>
      <c r="BF174" s="173"/>
      <c r="BG174" s="173"/>
      <c r="BH174" s="173"/>
      <c r="BI174" s="173"/>
      <c r="BJ174" s="173"/>
      <c r="BK174" s="173"/>
      <c r="BL174" s="173"/>
      <c r="BM174" s="173"/>
      <c r="BN174"/>
      <c r="BO174"/>
      <c r="BP174"/>
      <c r="BQ174"/>
    </row>
    <row r="175" spans="2:69" ht="25" customHeight="1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 s="173"/>
      <c r="AQ175"/>
      <c r="AR175"/>
      <c r="AS175"/>
      <c r="AT175"/>
      <c r="AU175"/>
      <c r="AV175"/>
      <c r="AW175"/>
      <c r="AX175"/>
      <c r="AY175"/>
      <c r="AZ175"/>
      <c r="BA175"/>
      <c r="BB175" s="173"/>
      <c r="BC175" s="173"/>
      <c r="BD175" s="173"/>
      <c r="BE175" s="173"/>
      <c r="BF175" s="173"/>
      <c r="BG175" s="173"/>
      <c r="BH175" s="173"/>
      <c r="BI175" s="173"/>
      <c r="BJ175" s="173"/>
      <c r="BK175" s="173"/>
      <c r="BL175" s="173"/>
      <c r="BM175" s="173"/>
      <c r="BN175"/>
      <c r="BO175"/>
      <c r="BP175"/>
      <c r="BQ175"/>
    </row>
    <row r="176" spans="2:69" ht="25" customHeight="1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 s="173"/>
      <c r="AQ176"/>
      <c r="AR176"/>
      <c r="AS176"/>
      <c r="AT176"/>
      <c r="AU176"/>
      <c r="AV176"/>
      <c r="AW176"/>
      <c r="AX176"/>
      <c r="AY176"/>
      <c r="AZ176"/>
      <c r="BA176"/>
      <c r="BB176" s="173"/>
      <c r="BC176" s="173"/>
      <c r="BD176" s="173"/>
      <c r="BE176" s="173"/>
      <c r="BF176" s="173"/>
      <c r="BG176" s="173"/>
      <c r="BH176" s="173"/>
      <c r="BI176" s="173"/>
      <c r="BJ176" s="173"/>
      <c r="BK176" s="173"/>
      <c r="BL176" s="173"/>
      <c r="BM176" s="173"/>
      <c r="BN176"/>
      <c r="BO176"/>
      <c r="BP176"/>
      <c r="BQ176"/>
    </row>
    <row r="177" spans="2:69" ht="25" customHeight="1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 s="173"/>
      <c r="AQ177"/>
      <c r="AR177"/>
      <c r="AS177"/>
      <c r="AT177"/>
      <c r="AU177"/>
      <c r="AV177"/>
      <c r="AW177"/>
      <c r="AX177"/>
      <c r="AY177"/>
      <c r="AZ177"/>
      <c r="BA177"/>
      <c r="BB177" s="173"/>
      <c r="BC177" s="173"/>
      <c r="BD177" s="173"/>
      <c r="BE177" s="173"/>
      <c r="BF177" s="173"/>
      <c r="BG177" s="173"/>
      <c r="BH177" s="173"/>
      <c r="BI177" s="173"/>
      <c r="BJ177" s="173"/>
      <c r="BK177" s="173"/>
      <c r="BL177" s="173"/>
      <c r="BM177" s="173"/>
      <c r="BN177"/>
      <c r="BO177"/>
      <c r="BP177"/>
      <c r="BQ177"/>
    </row>
    <row r="178" spans="2:69" ht="25" customHeight="1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 s="173"/>
      <c r="AQ178"/>
      <c r="AR178"/>
      <c r="AS178"/>
      <c r="AT178"/>
      <c r="AU178"/>
      <c r="AV178"/>
      <c r="AW178"/>
      <c r="AX178"/>
      <c r="AY178"/>
      <c r="AZ178"/>
      <c r="BA178"/>
      <c r="BB178" s="173"/>
      <c r="BC178" s="173"/>
      <c r="BD178" s="173"/>
      <c r="BE178" s="173"/>
      <c r="BF178" s="173"/>
      <c r="BG178" s="173"/>
      <c r="BH178" s="173"/>
      <c r="BI178" s="173"/>
      <c r="BJ178" s="173"/>
      <c r="BK178" s="173"/>
      <c r="BL178" s="173"/>
      <c r="BM178" s="173"/>
      <c r="BN178"/>
      <c r="BO178"/>
      <c r="BP178"/>
      <c r="BQ178"/>
    </row>
    <row r="179" spans="2:69" ht="25" customHeight="1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 s="173"/>
      <c r="AQ179"/>
      <c r="AR179"/>
      <c r="AS179"/>
      <c r="AT179"/>
      <c r="AU179"/>
      <c r="AV179"/>
      <c r="AW179"/>
      <c r="AX179"/>
      <c r="AY179"/>
      <c r="AZ179"/>
      <c r="BA179"/>
      <c r="BB179" s="173"/>
      <c r="BC179" s="173"/>
      <c r="BD179" s="173"/>
      <c r="BE179" s="173"/>
      <c r="BF179" s="173"/>
      <c r="BG179" s="173"/>
      <c r="BH179" s="173"/>
      <c r="BI179" s="173"/>
      <c r="BJ179" s="173"/>
      <c r="BK179" s="173"/>
      <c r="BL179" s="173"/>
      <c r="BM179" s="173"/>
      <c r="BN179"/>
      <c r="BO179"/>
      <c r="BP179"/>
      <c r="BQ179"/>
    </row>
    <row r="180" spans="2:69" ht="25" customHeight="1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 s="173"/>
      <c r="AQ180"/>
      <c r="AR180"/>
      <c r="AS180"/>
      <c r="AT180"/>
      <c r="AU180"/>
      <c r="AV180"/>
      <c r="AW180"/>
      <c r="AX180"/>
      <c r="AY180"/>
      <c r="AZ180"/>
      <c r="BA180"/>
      <c r="BB180" s="173"/>
      <c r="BC180" s="173"/>
      <c r="BD180" s="173"/>
      <c r="BE180" s="173"/>
      <c r="BF180" s="173"/>
      <c r="BG180" s="173"/>
      <c r="BH180" s="173"/>
      <c r="BI180" s="173"/>
      <c r="BJ180" s="173"/>
      <c r="BK180" s="173"/>
      <c r="BL180" s="173"/>
      <c r="BM180" s="173"/>
      <c r="BN180"/>
      <c r="BO180"/>
      <c r="BP180"/>
      <c r="BQ180"/>
    </row>
    <row r="181" spans="2:69" ht="25" customHeight="1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 s="173"/>
      <c r="AQ181"/>
      <c r="AR181"/>
      <c r="AS181"/>
      <c r="AT181"/>
      <c r="AU181"/>
      <c r="AV181"/>
      <c r="AW181"/>
      <c r="AX181"/>
      <c r="AY181"/>
      <c r="AZ181"/>
      <c r="BA181"/>
      <c r="BB181" s="173"/>
      <c r="BC181" s="173"/>
      <c r="BD181" s="173"/>
      <c r="BE181" s="173"/>
      <c r="BF181" s="173"/>
      <c r="BG181" s="173"/>
      <c r="BH181" s="173"/>
      <c r="BI181" s="173"/>
      <c r="BJ181" s="173"/>
      <c r="BK181" s="173"/>
      <c r="BL181" s="173"/>
      <c r="BM181" s="173"/>
      <c r="BN181"/>
      <c r="BO181"/>
      <c r="BP181"/>
      <c r="BQ181"/>
    </row>
    <row r="182" spans="2:69" ht="25" customHeight="1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 s="173"/>
      <c r="AQ182"/>
      <c r="AR182"/>
      <c r="AS182"/>
      <c r="AT182"/>
      <c r="AU182"/>
      <c r="AV182"/>
      <c r="AW182"/>
      <c r="AX182"/>
      <c r="AY182"/>
      <c r="AZ182"/>
      <c r="BA182"/>
      <c r="BB182" s="173"/>
      <c r="BC182" s="173"/>
      <c r="BD182" s="173"/>
      <c r="BE182" s="173"/>
      <c r="BF182" s="173"/>
      <c r="BG182" s="173"/>
      <c r="BH182" s="173"/>
      <c r="BI182" s="173"/>
      <c r="BJ182" s="173"/>
      <c r="BK182" s="173"/>
      <c r="BL182" s="173"/>
      <c r="BM182" s="173"/>
      <c r="BN182"/>
      <c r="BO182"/>
      <c r="BP182"/>
      <c r="BQ182"/>
    </row>
    <row r="183" spans="2:69" ht="25" customHeight="1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 s="173"/>
      <c r="AQ183"/>
      <c r="AR183"/>
      <c r="AS183"/>
      <c r="AT183"/>
      <c r="AU183"/>
      <c r="AV183"/>
      <c r="AW183"/>
      <c r="AX183"/>
      <c r="AY183"/>
      <c r="AZ183"/>
      <c r="BA183"/>
      <c r="BB183" s="173"/>
      <c r="BC183" s="173"/>
      <c r="BD183" s="173"/>
      <c r="BE183" s="173"/>
      <c r="BF183" s="173"/>
      <c r="BG183" s="173"/>
      <c r="BH183" s="173"/>
      <c r="BI183" s="173"/>
      <c r="BJ183" s="173"/>
      <c r="BK183" s="173"/>
      <c r="BL183" s="173"/>
      <c r="BM183" s="173"/>
      <c r="BN183"/>
      <c r="BO183"/>
      <c r="BP183"/>
      <c r="BQ183"/>
    </row>
    <row r="184" spans="2:69" ht="25" customHeight="1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 s="173"/>
      <c r="AQ184"/>
      <c r="AR184"/>
      <c r="AS184"/>
      <c r="AT184"/>
      <c r="AU184"/>
      <c r="AV184"/>
      <c r="AW184"/>
      <c r="AX184"/>
      <c r="AY184"/>
      <c r="AZ184"/>
      <c r="BA184"/>
      <c r="BB184" s="173"/>
      <c r="BC184" s="173"/>
      <c r="BD184" s="173"/>
      <c r="BE184" s="173"/>
      <c r="BF184" s="173"/>
      <c r="BG184" s="173"/>
      <c r="BH184" s="173"/>
      <c r="BI184" s="173"/>
      <c r="BJ184" s="173"/>
      <c r="BK184" s="173"/>
      <c r="BL184" s="173"/>
      <c r="BM184" s="173"/>
      <c r="BN184"/>
      <c r="BO184"/>
      <c r="BP184"/>
      <c r="BQ184"/>
    </row>
    <row r="185" spans="2:69" ht="25" customHeight="1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 s="173"/>
      <c r="AQ185"/>
      <c r="AR185"/>
      <c r="AS185"/>
      <c r="AT185"/>
      <c r="AU185"/>
      <c r="AV185"/>
      <c r="AW185"/>
      <c r="AX185"/>
      <c r="AY185"/>
      <c r="AZ185"/>
      <c r="BA185"/>
      <c r="BB185" s="173"/>
      <c r="BC185" s="173"/>
      <c r="BD185" s="173"/>
      <c r="BE185" s="173"/>
      <c r="BF185" s="173"/>
      <c r="BG185" s="173"/>
      <c r="BH185" s="173"/>
      <c r="BI185" s="173"/>
      <c r="BJ185" s="173"/>
      <c r="BK185" s="173"/>
      <c r="BL185" s="173"/>
      <c r="BM185" s="173"/>
      <c r="BN185"/>
      <c r="BO185"/>
      <c r="BP185"/>
      <c r="BQ185"/>
    </row>
    <row r="186" spans="2:69" ht="25" customHeight="1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 s="173"/>
      <c r="AQ186"/>
      <c r="AR186"/>
      <c r="AS186"/>
      <c r="AT186"/>
      <c r="AU186"/>
      <c r="AV186"/>
      <c r="AW186"/>
      <c r="AX186"/>
      <c r="AY186"/>
      <c r="AZ186"/>
      <c r="BA186"/>
      <c r="BB186" s="173"/>
      <c r="BC186" s="173"/>
      <c r="BD186" s="173"/>
      <c r="BE186" s="173"/>
      <c r="BF186" s="173"/>
      <c r="BG186" s="173"/>
      <c r="BH186" s="173"/>
      <c r="BI186" s="173"/>
      <c r="BJ186" s="173"/>
      <c r="BK186" s="173"/>
      <c r="BL186" s="173"/>
      <c r="BM186" s="173"/>
      <c r="BN186"/>
      <c r="BO186"/>
      <c r="BP186"/>
      <c r="BQ186"/>
    </row>
    <row r="187" spans="2:69" ht="25" customHeight="1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 s="173"/>
      <c r="AQ187"/>
      <c r="AR187"/>
      <c r="AS187"/>
      <c r="AT187"/>
      <c r="AU187"/>
      <c r="AV187"/>
      <c r="AW187"/>
      <c r="AX187"/>
      <c r="AY187"/>
      <c r="AZ187"/>
      <c r="BA187"/>
      <c r="BB187" s="173"/>
      <c r="BC187" s="173"/>
      <c r="BD187" s="173"/>
      <c r="BE187" s="173"/>
      <c r="BF187" s="173"/>
      <c r="BG187" s="173"/>
      <c r="BH187" s="173"/>
      <c r="BI187" s="173"/>
      <c r="BJ187" s="173"/>
      <c r="BK187" s="173"/>
      <c r="BL187" s="173"/>
      <c r="BM187" s="173"/>
      <c r="BN187"/>
      <c r="BO187"/>
      <c r="BP187"/>
      <c r="BQ187"/>
    </row>
    <row r="188" spans="2:69" ht="25" customHeight="1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 s="173"/>
      <c r="AQ188"/>
      <c r="AR188"/>
      <c r="AS188"/>
      <c r="AT188"/>
      <c r="AU188"/>
      <c r="AV188"/>
      <c r="AW188"/>
      <c r="AX188"/>
      <c r="AY188"/>
      <c r="AZ188"/>
      <c r="BA188"/>
      <c r="BB188" s="173"/>
      <c r="BC188" s="173"/>
      <c r="BD188" s="173"/>
      <c r="BE188" s="173"/>
      <c r="BF188" s="173"/>
      <c r="BG188" s="173"/>
      <c r="BH188" s="173"/>
      <c r="BI188" s="173"/>
      <c r="BJ188" s="173"/>
      <c r="BK188" s="173"/>
      <c r="BL188" s="173"/>
      <c r="BM188" s="173"/>
      <c r="BN188"/>
      <c r="BO188"/>
      <c r="BP188"/>
      <c r="BQ188"/>
    </row>
    <row r="189" spans="2:69" ht="25" customHeight="1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 s="173"/>
      <c r="AQ189"/>
      <c r="AR189"/>
      <c r="AS189"/>
      <c r="AT189"/>
      <c r="AU189"/>
      <c r="AV189"/>
      <c r="AW189"/>
      <c r="AX189"/>
      <c r="AY189"/>
      <c r="AZ189"/>
      <c r="BA189"/>
      <c r="BB189" s="173"/>
      <c r="BC189" s="173"/>
      <c r="BD189" s="173"/>
      <c r="BE189" s="173"/>
      <c r="BF189" s="173"/>
      <c r="BG189" s="173"/>
      <c r="BH189" s="173"/>
      <c r="BI189" s="173"/>
      <c r="BJ189" s="173"/>
      <c r="BK189" s="173"/>
      <c r="BL189" s="173"/>
      <c r="BM189" s="173"/>
      <c r="BN189"/>
      <c r="BO189"/>
      <c r="BP189"/>
      <c r="BQ189"/>
    </row>
    <row r="190" spans="2:69" ht="25" customHeight="1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 s="173"/>
      <c r="AQ190"/>
      <c r="AR190"/>
      <c r="AS190"/>
      <c r="AT190"/>
      <c r="AU190"/>
      <c r="AV190"/>
      <c r="AW190"/>
      <c r="AX190"/>
      <c r="AY190"/>
      <c r="AZ190"/>
      <c r="BA190"/>
      <c r="BB190" s="173"/>
      <c r="BC190" s="173"/>
      <c r="BD190" s="173"/>
      <c r="BE190" s="173"/>
      <c r="BF190" s="173"/>
      <c r="BG190" s="173"/>
      <c r="BH190" s="173"/>
      <c r="BI190" s="173"/>
      <c r="BJ190" s="173"/>
      <c r="BK190" s="173"/>
      <c r="BL190" s="173"/>
      <c r="BM190" s="173"/>
      <c r="BN190"/>
      <c r="BO190"/>
      <c r="BP190"/>
      <c r="BQ190"/>
    </row>
    <row r="191" spans="2:69" ht="25" customHeight="1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 s="173"/>
      <c r="AQ191"/>
      <c r="AR191"/>
      <c r="AS191"/>
      <c r="AT191"/>
      <c r="AU191"/>
      <c r="AV191"/>
      <c r="AW191"/>
      <c r="AX191"/>
      <c r="AY191"/>
      <c r="AZ191"/>
      <c r="BA191"/>
      <c r="BB191" s="173"/>
      <c r="BC191" s="173"/>
      <c r="BD191" s="173"/>
      <c r="BE191" s="173"/>
      <c r="BF191" s="173"/>
      <c r="BG191" s="173"/>
      <c r="BH191" s="173"/>
      <c r="BI191" s="173"/>
      <c r="BJ191" s="173"/>
      <c r="BK191" s="173"/>
      <c r="BL191" s="173"/>
      <c r="BM191" s="173"/>
      <c r="BN191"/>
      <c r="BO191"/>
      <c r="BP191"/>
      <c r="BQ191"/>
    </row>
    <row r="192" spans="2:69" ht="25" customHeight="1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 s="173"/>
      <c r="AQ192"/>
      <c r="AR192"/>
      <c r="AS192"/>
      <c r="AT192"/>
      <c r="AU192"/>
      <c r="AV192"/>
      <c r="AW192"/>
      <c r="AX192"/>
      <c r="AY192"/>
      <c r="AZ192"/>
      <c r="BA192"/>
      <c r="BB192" s="173"/>
      <c r="BC192" s="173"/>
      <c r="BD192" s="173"/>
      <c r="BE192" s="173"/>
      <c r="BF192" s="173"/>
      <c r="BG192" s="173"/>
      <c r="BH192" s="173"/>
      <c r="BI192" s="173"/>
      <c r="BJ192" s="173"/>
      <c r="BK192" s="173"/>
      <c r="BL192" s="173"/>
      <c r="BM192" s="173"/>
      <c r="BN192"/>
      <c r="BO192"/>
      <c r="BP192"/>
      <c r="BQ192"/>
    </row>
    <row r="193" spans="2:69" ht="25" customHeight="1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 s="173"/>
      <c r="AQ193"/>
      <c r="AR193"/>
      <c r="AS193"/>
      <c r="AT193"/>
      <c r="AU193"/>
      <c r="AV193"/>
      <c r="AW193"/>
      <c r="AX193"/>
      <c r="AY193"/>
      <c r="AZ193"/>
      <c r="BA193"/>
      <c r="BB193" s="173"/>
      <c r="BC193" s="173"/>
      <c r="BD193" s="173"/>
      <c r="BE193" s="173"/>
      <c r="BF193" s="173"/>
      <c r="BG193" s="173"/>
      <c r="BH193" s="173"/>
      <c r="BI193" s="173"/>
      <c r="BJ193" s="173"/>
      <c r="BK193" s="173"/>
      <c r="BL193" s="173"/>
      <c r="BM193" s="173"/>
      <c r="BN193"/>
      <c r="BO193"/>
      <c r="BP193"/>
      <c r="BQ193"/>
    </row>
    <row r="194" spans="2:69" ht="25" customHeight="1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 s="173"/>
      <c r="AQ194"/>
      <c r="AR194"/>
      <c r="AS194"/>
      <c r="AT194"/>
      <c r="AU194"/>
      <c r="AV194"/>
      <c r="AW194"/>
      <c r="AX194"/>
      <c r="AY194"/>
      <c r="AZ194"/>
      <c r="BA194"/>
      <c r="BB194" s="173"/>
      <c r="BC194" s="173"/>
      <c r="BD194" s="173"/>
      <c r="BE194" s="173"/>
      <c r="BF194" s="173"/>
      <c r="BG194" s="173"/>
      <c r="BH194" s="173"/>
      <c r="BI194" s="173"/>
      <c r="BJ194" s="173"/>
      <c r="BK194" s="173"/>
      <c r="BL194" s="173"/>
      <c r="BM194" s="173"/>
      <c r="BN194"/>
      <c r="BO194"/>
      <c r="BP194"/>
      <c r="BQ194"/>
    </row>
    <row r="195" spans="2:69" ht="25" customHeight="1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 s="173"/>
      <c r="AQ195"/>
      <c r="AR195"/>
      <c r="AS195"/>
      <c r="AT195"/>
      <c r="AU195"/>
      <c r="AV195"/>
      <c r="AW195"/>
      <c r="AX195"/>
      <c r="AY195"/>
      <c r="AZ195"/>
      <c r="BA195"/>
      <c r="BB195" s="173"/>
      <c r="BC195" s="173"/>
      <c r="BD195" s="173"/>
      <c r="BE195" s="173"/>
      <c r="BF195" s="173"/>
      <c r="BG195" s="173"/>
      <c r="BH195" s="173"/>
      <c r="BI195" s="173"/>
      <c r="BJ195" s="173"/>
      <c r="BK195" s="173"/>
      <c r="BL195" s="173"/>
      <c r="BM195" s="173"/>
      <c r="BN195"/>
      <c r="BO195"/>
      <c r="BP195"/>
      <c r="BQ195"/>
    </row>
    <row r="196" spans="2:69" ht="25" customHeight="1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 s="173"/>
      <c r="AQ196"/>
      <c r="AR196"/>
      <c r="AS196"/>
      <c r="AT196"/>
      <c r="AU196"/>
      <c r="AV196"/>
      <c r="AW196"/>
      <c r="AX196"/>
      <c r="AY196"/>
      <c r="AZ196"/>
      <c r="BA196"/>
      <c r="BB196" s="173"/>
      <c r="BC196" s="173"/>
      <c r="BD196" s="173"/>
      <c r="BE196" s="173"/>
      <c r="BF196" s="173"/>
      <c r="BG196" s="173"/>
      <c r="BH196" s="173"/>
      <c r="BI196" s="173"/>
      <c r="BJ196" s="173"/>
      <c r="BK196" s="173"/>
      <c r="BL196" s="173"/>
      <c r="BM196" s="173"/>
      <c r="BN196"/>
      <c r="BO196"/>
      <c r="BP196"/>
      <c r="BQ196"/>
    </row>
    <row r="197" spans="2:69" ht="25" customHeight="1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 s="173"/>
      <c r="AQ197"/>
      <c r="AR197"/>
      <c r="AS197"/>
      <c r="AT197"/>
      <c r="AU197"/>
      <c r="AV197"/>
      <c r="AW197"/>
      <c r="AX197"/>
      <c r="AY197"/>
      <c r="AZ197"/>
      <c r="BA197"/>
      <c r="BB197" s="173"/>
      <c r="BC197" s="173"/>
      <c r="BD197" s="173"/>
      <c r="BE197" s="173"/>
      <c r="BF197" s="173"/>
      <c r="BG197" s="173"/>
      <c r="BH197" s="173"/>
      <c r="BI197" s="173"/>
      <c r="BJ197" s="173"/>
      <c r="BK197" s="173"/>
      <c r="BL197" s="173"/>
      <c r="BM197" s="173"/>
      <c r="BN197"/>
      <c r="BO197"/>
      <c r="BP197"/>
      <c r="BQ197"/>
    </row>
    <row r="198" spans="2:69" ht="25" customHeight="1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 s="173"/>
      <c r="AQ198"/>
      <c r="AR198"/>
      <c r="AS198"/>
      <c r="AT198"/>
      <c r="AU198"/>
      <c r="AV198"/>
      <c r="AW198"/>
      <c r="AX198"/>
      <c r="AY198"/>
      <c r="AZ198"/>
      <c r="BA198"/>
      <c r="BB198" s="173"/>
      <c r="BC198" s="173"/>
      <c r="BD198" s="173"/>
      <c r="BE198" s="173"/>
      <c r="BF198" s="173"/>
      <c r="BG198" s="173"/>
      <c r="BH198" s="173"/>
      <c r="BI198" s="173"/>
      <c r="BJ198" s="173"/>
      <c r="BK198" s="173"/>
      <c r="BL198" s="173"/>
      <c r="BM198" s="173"/>
      <c r="BN198"/>
      <c r="BO198"/>
      <c r="BP198"/>
      <c r="BQ198"/>
    </row>
    <row r="199" spans="2:69" ht="25" customHeight="1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 s="173"/>
      <c r="AQ199"/>
      <c r="AR199"/>
      <c r="AS199"/>
      <c r="AT199"/>
      <c r="AU199"/>
      <c r="AV199"/>
      <c r="AW199"/>
      <c r="AX199"/>
      <c r="AY199"/>
      <c r="AZ199"/>
      <c r="BA199"/>
      <c r="BB199" s="173"/>
      <c r="BC199" s="173"/>
      <c r="BD199" s="173"/>
      <c r="BE199" s="173"/>
      <c r="BF199" s="173"/>
      <c r="BG199" s="173"/>
      <c r="BH199" s="173"/>
      <c r="BI199" s="173"/>
      <c r="BJ199" s="173"/>
      <c r="BK199" s="173"/>
      <c r="BL199" s="173"/>
      <c r="BM199" s="173"/>
      <c r="BN199"/>
      <c r="BO199"/>
      <c r="BP199"/>
      <c r="BQ199"/>
    </row>
    <row r="200" spans="2:69" ht="25" customHeight="1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 s="173"/>
      <c r="AQ200"/>
      <c r="AR200"/>
      <c r="AS200"/>
      <c r="AT200"/>
      <c r="AU200"/>
      <c r="AV200"/>
      <c r="AW200"/>
      <c r="AX200"/>
      <c r="AY200"/>
      <c r="AZ200"/>
      <c r="BA200"/>
      <c r="BB200" s="173"/>
      <c r="BC200" s="173"/>
      <c r="BD200" s="173"/>
      <c r="BE200" s="173"/>
      <c r="BF200" s="173"/>
      <c r="BG200" s="173"/>
      <c r="BH200" s="173"/>
      <c r="BI200" s="173"/>
      <c r="BJ200" s="173"/>
      <c r="BK200" s="173"/>
      <c r="BL200" s="173"/>
      <c r="BM200" s="173"/>
      <c r="BN200"/>
      <c r="BO200"/>
      <c r="BP200"/>
      <c r="BQ200"/>
    </row>
    <row r="201" spans="2:69" ht="25" customHeight="1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 s="173"/>
      <c r="AQ201"/>
      <c r="AR201"/>
      <c r="AS201"/>
      <c r="AT201"/>
      <c r="AU201"/>
      <c r="AV201"/>
      <c r="AW201"/>
      <c r="AX201"/>
      <c r="AY201"/>
      <c r="AZ201"/>
      <c r="BA201"/>
      <c r="BB201" s="173"/>
      <c r="BC201" s="173"/>
      <c r="BD201" s="173"/>
      <c r="BE201" s="173"/>
      <c r="BF201" s="173"/>
      <c r="BG201" s="173"/>
      <c r="BH201" s="173"/>
      <c r="BI201" s="173"/>
      <c r="BJ201" s="173"/>
      <c r="BK201" s="173"/>
      <c r="BL201" s="173"/>
      <c r="BM201" s="173"/>
      <c r="BN201"/>
      <c r="BO201"/>
      <c r="BP201"/>
      <c r="BQ201"/>
    </row>
    <row r="202" spans="2:69" ht="25" customHeight="1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 s="173"/>
      <c r="AQ202"/>
      <c r="AR202"/>
      <c r="AS202"/>
      <c r="AT202"/>
      <c r="AU202"/>
      <c r="AV202"/>
      <c r="AW202"/>
      <c r="AX202"/>
      <c r="AY202"/>
      <c r="AZ202"/>
      <c r="BA202"/>
      <c r="BB202" s="173"/>
      <c r="BC202" s="173"/>
      <c r="BD202" s="173"/>
      <c r="BE202" s="173"/>
      <c r="BF202" s="173"/>
      <c r="BG202" s="173"/>
      <c r="BH202" s="173"/>
      <c r="BI202" s="173"/>
      <c r="BJ202" s="173"/>
      <c r="BK202" s="173"/>
      <c r="BL202" s="173"/>
      <c r="BM202" s="173"/>
      <c r="BN202"/>
      <c r="BO202"/>
      <c r="BP202"/>
      <c r="BQ202"/>
    </row>
    <row r="203" spans="2:69" ht="25" customHeight="1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 s="173"/>
      <c r="AQ203"/>
      <c r="AR203"/>
      <c r="AS203"/>
      <c r="AT203"/>
      <c r="AU203"/>
      <c r="AV203"/>
      <c r="AW203"/>
      <c r="AX203"/>
      <c r="AY203"/>
      <c r="AZ203"/>
      <c r="BA203"/>
      <c r="BB203" s="173"/>
      <c r="BC203" s="173"/>
      <c r="BD203" s="173"/>
      <c r="BE203" s="173"/>
      <c r="BF203" s="173"/>
      <c r="BG203" s="173"/>
      <c r="BH203" s="173"/>
      <c r="BI203" s="173"/>
      <c r="BJ203" s="173"/>
      <c r="BK203" s="173"/>
      <c r="BL203" s="173"/>
      <c r="BM203" s="173"/>
      <c r="BN203"/>
      <c r="BO203"/>
      <c r="BP203"/>
      <c r="BQ203"/>
    </row>
    <row r="204" spans="2:69" ht="25" customHeight="1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 s="173"/>
      <c r="AQ204"/>
      <c r="AR204"/>
      <c r="AS204"/>
      <c r="AT204"/>
      <c r="AU204"/>
      <c r="AV204"/>
      <c r="AW204"/>
      <c r="AX204"/>
      <c r="AY204"/>
      <c r="AZ204"/>
      <c r="BA204"/>
      <c r="BB204" s="173"/>
      <c r="BC204" s="173"/>
      <c r="BD204" s="173"/>
      <c r="BE204" s="173"/>
      <c r="BF204" s="173"/>
      <c r="BG204" s="173"/>
      <c r="BH204" s="173"/>
      <c r="BI204" s="173"/>
      <c r="BJ204" s="173"/>
      <c r="BK204" s="173"/>
      <c r="BL204" s="173"/>
      <c r="BM204" s="173"/>
      <c r="BN204"/>
      <c r="BO204"/>
      <c r="BP204"/>
      <c r="BQ204"/>
    </row>
    <row r="205" spans="2:69" ht="25" customHeight="1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 s="173"/>
      <c r="AQ205"/>
      <c r="AR205"/>
      <c r="AS205"/>
      <c r="AT205"/>
      <c r="AU205"/>
      <c r="AV205"/>
      <c r="AW205"/>
      <c r="AX205"/>
      <c r="AY205"/>
      <c r="AZ205"/>
      <c r="BA205"/>
      <c r="BB205" s="173"/>
      <c r="BC205" s="173"/>
      <c r="BD205" s="173"/>
      <c r="BE205" s="173"/>
      <c r="BF205" s="173"/>
      <c r="BG205" s="173"/>
      <c r="BH205" s="173"/>
      <c r="BI205" s="173"/>
      <c r="BJ205" s="173"/>
      <c r="BK205" s="173"/>
      <c r="BL205" s="173"/>
      <c r="BM205" s="173"/>
      <c r="BN205"/>
      <c r="BO205"/>
      <c r="BP205"/>
      <c r="BQ205"/>
    </row>
    <row r="206" spans="2:69" ht="25" customHeight="1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 s="173"/>
      <c r="AQ206"/>
      <c r="AR206"/>
      <c r="AS206"/>
      <c r="AT206"/>
      <c r="AU206"/>
      <c r="AV206"/>
      <c r="AW206"/>
      <c r="AX206"/>
      <c r="AY206"/>
      <c r="AZ206"/>
      <c r="BA206"/>
      <c r="BB206" s="173"/>
      <c r="BC206" s="173"/>
      <c r="BD206" s="173"/>
      <c r="BE206" s="173"/>
      <c r="BF206" s="173"/>
      <c r="BG206" s="173"/>
      <c r="BH206" s="173"/>
      <c r="BI206" s="173"/>
      <c r="BJ206" s="173"/>
      <c r="BK206" s="173"/>
      <c r="BL206" s="173"/>
      <c r="BM206" s="173"/>
      <c r="BN206"/>
      <c r="BO206"/>
      <c r="BP206"/>
      <c r="BQ206"/>
    </row>
    <row r="207" spans="2:69" ht="25" customHeight="1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 s="173"/>
      <c r="AQ207"/>
      <c r="AR207"/>
      <c r="AS207"/>
      <c r="AT207"/>
      <c r="AU207"/>
      <c r="AV207"/>
      <c r="AW207"/>
      <c r="AX207"/>
      <c r="AY207"/>
      <c r="AZ207"/>
      <c r="BA207"/>
      <c r="BB207" s="173"/>
      <c r="BC207" s="173"/>
      <c r="BD207" s="173"/>
      <c r="BE207" s="173"/>
      <c r="BF207" s="173"/>
      <c r="BG207" s="173"/>
      <c r="BH207" s="173"/>
      <c r="BI207" s="173"/>
      <c r="BJ207" s="173"/>
      <c r="BK207" s="173"/>
      <c r="BL207" s="173"/>
      <c r="BM207" s="173"/>
      <c r="BN207"/>
      <c r="BO207"/>
      <c r="BP207"/>
      <c r="BQ207"/>
    </row>
    <row r="208" spans="2:69" ht="25" customHeight="1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 s="173"/>
      <c r="AQ208"/>
      <c r="AR208"/>
      <c r="AS208"/>
      <c r="AT208"/>
      <c r="AU208"/>
      <c r="AV208"/>
      <c r="AW208"/>
      <c r="AX208"/>
      <c r="AY208"/>
      <c r="AZ208"/>
      <c r="BA208"/>
      <c r="BB208" s="173"/>
      <c r="BC208" s="173"/>
      <c r="BD208" s="173"/>
      <c r="BE208" s="173"/>
      <c r="BF208" s="173"/>
      <c r="BG208" s="173"/>
      <c r="BH208" s="173"/>
      <c r="BI208" s="173"/>
      <c r="BJ208" s="173"/>
      <c r="BK208" s="173"/>
      <c r="BL208" s="173"/>
      <c r="BM208" s="173"/>
      <c r="BN208"/>
      <c r="BO208"/>
      <c r="BP208"/>
      <c r="BQ208"/>
    </row>
    <row r="209" spans="2:69" ht="25" customHeight="1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 s="173"/>
      <c r="AQ209"/>
      <c r="AR209"/>
      <c r="AS209"/>
      <c r="AT209"/>
      <c r="AU209"/>
      <c r="AV209"/>
      <c r="AW209"/>
      <c r="AX209"/>
      <c r="AY209"/>
      <c r="AZ209"/>
      <c r="BA209"/>
      <c r="BB209" s="173"/>
      <c r="BC209" s="173"/>
      <c r="BD209" s="173"/>
      <c r="BE209" s="173"/>
      <c r="BF209" s="173"/>
      <c r="BG209" s="173"/>
      <c r="BH209" s="173"/>
      <c r="BI209" s="173"/>
      <c r="BJ209" s="173"/>
      <c r="BK209" s="173"/>
      <c r="BL209" s="173"/>
      <c r="BM209" s="173"/>
      <c r="BN209"/>
      <c r="BO209"/>
      <c r="BP209"/>
      <c r="BQ209"/>
    </row>
    <row r="210" spans="2:69" ht="25" customHeight="1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 s="173"/>
      <c r="AQ210"/>
      <c r="AR210"/>
      <c r="AS210"/>
      <c r="AT210"/>
      <c r="AU210"/>
      <c r="AV210"/>
      <c r="AW210"/>
      <c r="AX210"/>
      <c r="AY210"/>
      <c r="AZ210"/>
      <c r="BA210"/>
      <c r="BB210" s="173"/>
      <c r="BC210" s="173"/>
      <c r="BD210" s="173"/>
      <c r="BE210" s="173"/>
      <c r="BF210" s="173"/>
      <c r="BG210" s="173"/>
      <c r="BH210" s="173"/>
      <c r="BI210" s="173"/>
      <c r="BJ210" s="173"/>
      <c r="BK210" s="173"/>
      <c r="BL210" s="173"/>
      <c r="BM210" s="173"/>
      <c r="BN210"/>
      <c r="BO210"/>
      <c r="BP210"/>
      <c r="BQ210"/>
    </row>
    <row r="211" spans="2:69" ht="25" customHeight="1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 s="173"/>
      <c r="AQ211"/>
      <c r="AR211"/>
      <c r="AS211"/>
      <c r="AT211"/>
      <c r="AU211"/>
      <c r="AV211"/>
      <c r="AW211"/>
      <c r="AX211"/>
      <c r="AY211"/>
      <c r="AZ211"/>
      <c r="BA211"/>
      <c r="BB211" s="173"/>
      <c r="BC211" s="173"/>
      <c r="BD211" s="173"/>
      <c r="BE211" s="173"/>
      <c r="BF211" s="173"/>
      <c r="BG211" s="173"/>
      <c r="BH211" s="173"/>
      <c r="BI211" s="173"/>
      <c r="BJ211" s="173"/>
      <c r="BK211" s="173"/>
      <c r="BL211" s="173"/>
      <c r="BM211" s="173"/>
      <c r="BN211"/>
      <c r="BO211"/>
      <c r="BP211"/>
      <c r="BQ211"/>
    </row>
    <row r="212" spans="2:69" ht="25" customHeight="1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 s="173"/>
      <c r="AQ212"/>
      <c r="AR212"/>
      <c r="AS212"/>
      <c r="AT212"/>
      <c r="AU212"/>
      <c r="AV212"/>
      <c r="AW212"/>
      <c r="AX212"/>
      <c r="AY212"/>
      <c r="AZ212"/>
      <c r="BA212"/>
      <c r="BB212" s="173"/>
      <c r="BC212" s="173"/>
      <c r="BD212" s="173"/>
      <c r="BE212" s="173"/>
      <c r="BF212" s="173"/>
      <c r="BG212" s="173"/>
      <c r="BH212" s="173"/>
      <c r="BI212" s="173"/>
      <c r="BJ212" s="173"/>
      <c r="BK212" s="173"/>
      <c r="BL212" s="173"/>
      <c r="BM212" s="173"/>
      <c r="BN212"/>
      <c r="BO212"/>
      <c r="BP212"/>
      <c r="BQ212"/>
    </row>
    <row r="213" spans="2:69" ht="25" customHeight="1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 s="173"/>
      <c r="AQ213"/>
      <c r="AR213"/>
      <c r="AS213"/>
      <c r="AT213"/>
      <c r="AU213"/>
      <c r="AV213"/>
      <c r="AW213"/>
      <c r="AX213"/>
      <c r="AY213"/>
      <c r="AZ213"/>
      <c r="BA213"/>
      <c r="BB213" s="173"/>
      <c r="BC213" s="173"/>
      <c r="BD213" s="173"/>
      <c r="BE213" s="173"/>
      <c r="BF213" s="173"/>
      <c r="BG213" s="173"/>
      <c r="BH213" s="173"/>
      <c r="BI213" s="173"/>
      <c r="BJ213" s="173"/>
      <c r="BK213" s="173"/>
      <c r="BL213" s="173"/>
      <c r="BM213" s="173"/>
      <c r="BN213"/>
      <c r="BO213"/>
      <c r="BP213"/>
      <c r="BQ213"/>
    </row>
    <row r="214" spans="2:69" ht="25" customHeight="1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 s="173"/>
      <c r="AQ214"/>
      <c r="AR214"/>
      <c r="AS214"/>
      <c r="AT214"/>
      <c r="AU214"/>
      <c r="AV214"/>
      <c r="AW214"/>
      <c r="AX214"/>
      <c r="AY214"/>
      <c r="AZ214"/>
      <c r="BA214"/>
      <c r="BB214" s="173"/>
      <c r="BC214" s="173"/>
      <c r="BD214" s="173"/>
      <c r="BE214" s="173"/>
      <c r="BF214" s="173"/>
      <c r="BG214" s="173"/>
      <c r="BH214" s="173"/>
      <c r="BI214" s="173"/>
      <c r="BJ214" s="173"/>
      <c r="BK214" s="173"/>
      <c r="BL214" s="173"/>
      <c r="BM214" s="173"/>
      <c r="BN214"/>
      <c r="BO214"/>
      <c r="BP214"/>
      <c r="BQ214"/>
    </row>
    <row r="215" spans="2:69" ht="25" customHeight="1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 s="173"/>
      <c r="AQ215"/>
      <c r="AR215"/>
      <c r="AS215"/>
      <c r="AT215"/>
      <c r="AU215"/>
      <c r="AV215"/>
      <c r="AW215"/>
      <c r="AX215"/>
      <c r="AY215"/>
      <c r="AZ215"/>
      <c r="BA215"/>
      <c r="BB215" s="173"/>
      <c r="BC215" s="173"/>
      <c r="BD215" s="173"/>
      <c r="BE215" s="173"/>
      <c r="BF215" s="173"/>
      <c r="BG215" s="173"/>
      <c r="BH215" s="173"/>
      <c r="BI215" s="173"/>
      <c r="BJ215" s="173"/>
      <c r="BK215" s="173"/>
      <c r="BL215" s="173"/>
      <c r="BM215" s="173"/>
      <c r="BN215"/>
      <c r="BO215"/>
      <c r="BP215"/>
      <c r="BQ215"/>
    </row>
    <row r="216" spans="2:69" ht="25" customHeight="1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 s="173"/>
      <c r="AQ216"/>
      <c r="AR216"/>
      <c r="AS216"/>
      <c r="AT216"/>
      <c r="AU216"/>
      <c r="AV216"/>
      <c r="AW216"/>
      <c r="AX216"/>
      <c r="AY216"/>
      <c r="AZ216"/>
      <c r="BA216"/>
      <c r="BB216" s="173"/>
      <c r="BC216" s="173"/>
      <c r="BD216" s="173"/>
      <c r="BE216" s="173"/>
      <c r="BF216" s="173"/>
      <c r="BG216" s="173"/>
      <c r="BH216" s="173"/>
      <c r="BI216" s="173"/>
      <c r="BJ216" s="173"/>
      <c r="BK216" s="173"/>
      <c r="BL216" s="173"/>
      <c r="BM216" s="173"/>
      <c r="BN216"/>
      <c r="BO216"/>
      <c r="BP216"/>
      <c r="BQ216"/>
    </row>
    <row r="217" spans="2:69" ht="25" customHeight="1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 s="173"/>
      <c r="AQ217"/>
      <c r="AR217"/>
      <c r="AS217"/>
      <c r="AT217"/>
      <c r="AU217"/>
      <c r="AV217"/>
      <c r="AW217"/>
      <c r="AX217"/>
      <c r="AY217"/>
      <c r="AZ217"/>
      <c r="BA217"/>
      <c r="BB217" s="173"/>
      <c r="BC217" s="173"/>
      <c r="BD217" s="173"/>
      <c r="BE217" s="173"/>
      <c r="BF217" s="173"/>
      <c r="BG217" s="173"/>
      <c r="BH217" s="173"/>
      <c r="BI217" s="173"/>
      <c r="BJ217" s="173"/>
      <c r="BK217" s="173"/>
      <c r="BL217" s="173"/>
      <c r="BM217" s="173"/>
      <c r="BN217"/>
      <c r="BO217"/>
      <c r="BP217"/>
      <c r="BQ217"/>
    </row>
    <row r="218" spans="2:69" ht="25" customHeight="1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 s="173"/>
      <c r="AQ218"/>
      <c r="AR218"/>
      <c r="AS218"/>
      <c r="AT218"/>
      <c r="AU218"/>
      <c r="AV218"/>
      <c r="AW218"/>
      <c r="AX218"/>
      <c r="AY218"/>
      <c r="AZ218"/>
      <c r="BA218"/>
      <c r="BB218" s="173"/>
      <c r="BC218" s="173"/>
      <c r="BD218" s="173"/>
      <c r="BE218" s="173"/>
      <c r="BF218" s="173"/>
      <c r="BG218" s="173"/>
      <c r="BH218" s="173"/>
      <c r="BI218" s="173"/>
      <c r="BJ218" s="173"/>
      <c r="BK218" s="173"/>
      <c r="BL218" s="173"/>
      <c r="BM218" s="173"/>
      <c r="BN218"/>
      <c r="BO218"/>
      <c r="BP218"/>
      <c r="BQ218"/>
    </row>
    <row r="219" spans="2:69" ht="25" customHeight="1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 s="173"/>
      <c r="AQ219"/>
      <c r="AR219"/>
      <c r="AS219"/>
      <c r="AT219"/>
      <c r="AU219"/>
      <c r="AV219"/>
      <c r="AW219"/>
      <c r="AX219"/>
      <c r="AY219"/>
      <c r="AZ219"/>
      <c r="BA219"/>
      <c r="BB219" s="173"/>
      <c r="BC219" s="173"/>
      <c r="BD219" s="173"/>
      <c r="BE219" s="173"/>
      <c r="BF219" s="173"/>
      <c r="BG219" s="173"/>
      <c r="BH219" s="173"/>
      <c r="BI219" s="173"/>
      <c r="BJ219" s="173"/>
      <c r="BK219" s="173"/>
      <c r="BL219" s="173"/>
      <c r="BM219" s="173"/>
      <c r="BN219"/>
      <c r="BO219"/>
      <c r="BP219"/>
      <c r="BQ219"/>
    </row>
    <row r="220" spans="2:69" ht="25" customHeight="1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 s="173"/>
      <c r="AQ220"/>
      <c r="AR220"/>
      <c r="AS220"/>
      <c r="AT220"/>
      <c r="AU220"/>
      <c r="AV220"/>
      <c r="AW220"/>
      <c r="AX220"/>
      <c r="AY220"/>
      <c r="AZ220"/>
      <c r="BA220"/>
      <c r="BB220" s="173"/>
      <c r="BC220" s="173"/>
      <c r="BD220" s="173"/>
      <c r="BE220" s="173"/>
      <c r="BF220" s="173"/>
      <c r="BG220" s="173"/>
      <c r="BH220" s="173"/>
      <c r="BI220" s="173"/>
      <c r="BJ220" s="173"/>
      <c r="BK220" s="173"/>
      <c r="BL220" s="173"/>
      <c r="BM220" s="173"/>
      <c r="BN220"/>
      <c r="BO220"/>
      <c r="BP220"/>
      <c r="BQ220"/>
    </row>
    <row r="221" spans="2:69" ht="25" customHeight="1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 s="173"/>
      <c r="AQ221"/>
      <c r="AR221"/>
      <c r="AS221"/>
      <c r="AT221"/>
      <c r="AU221"/>
      <c r="AV221"/>
      <c r="AW221"/>
      <c r="AX221"/>
      <c r="AY221"/>
      <c r="AZ221"/>
      <c r="BA221"/>
      <c r="BB221" s="173"/>
      <c r="BC221" s="173"/>
      <c r="BD221" s="173"/>
      <c r="BE221" s="173"/>
      <c r="BF221" s="173"/>
      <c r="BG221" s="173"/>
      <c r="BH221" s="173"/>
      <c r="BI221" s="173"/>
      <c r="BJ221" s="173"/>
      <c r="BK221" s="173"/>
      <c r="BL221" s="173"/>
      <c r="BM221" s="173"/>
      <c r="BN221"/>
      <c r="BO221"/>
      <c r="BP221"/>
      <c r="BQ221"/>
    </row>
    <row r="222" spans="2:69" ht="25" customHeight="1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 s="173"/>
      <c r="AQ222"/>
      <c r="AR222"/>
      <c r="AS222"/>
      <c r="AT222"/>
      <c r="AU222"/>
      <c r="AV222"/>
      <c r="AW222"/>
      <c r="AX222"/>
      <c r="AY222"/>
      <c r="AZ222"/>
      <c r="BA222"/>
      <c r="BB222" s="173"/>
      <c r="BC222" s="173"/>
      <c r="BD222" s="173"/>
      <c r="BE222" s="173"/>
      <c r="BF222" s="173"/>
      <c r="BG222" s="173"/>
      <c r="BH222" s="173"/>
      <c r="BI222" s="173"/>
      <c r="BJ222" s="173"/>
      <c r="BK222" s="173"/>
      <c r="BL222" s="173"/>
      <c r="BM222" s="173"/>
      <c r="BN222"/>
      <c r="BO222"/>
      <c r="BP222"/>
      <c r="BQ222"/>
    </row>
    <row r="223" spans="2:69" ht="25" customHeight="1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 s="173"/>
      <c r="AQ223"/>
      <c r="AR223"/>
      <c r="AS223"/>
      <c r="AT223"/>
      <c r="AU223"/>
      <c r="AV223"/>
      <c r="AW223"/>
      <c r="AX223"/>
      <c r="AY223"/>
      <c r="AZ223"/>
      <c r="BA223"/>
      <c r="BB223" s="173"/>
      <c r="BC223" s="173"/>
      <c r="BD223" s="173"/>
      <c r="BE223" s="173"/>
      <c r="BF223" s="173"/>
      <c r="BG223" s="173"/>
      <c r="BH223" s="173"/>
      <c r="BI223" s="173"/>
      <c r="BJ223" s="173"/>
      <c r="BK223" s="173"/>
      <c r="BL223" s="173"/>
      <c r="BM223" s="173"/>
      <c r="BN223"/>
      <c r="BO223"/>
      <c r="BP223"/>
      <c r="BQ223"/>
    </row>
    <row r="224" spans="2:69" ht="25" customHeight="1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 s="173"/>
      <c r="AQ224"/>
      <c r="AR224"/>
      <c r="AS224"/>
      <c r="AT224"/>
      <c r="AU224"/>
      <c r="AV224"/>
      <c r="AW224"/>
      <c r="AX224"/>
      <c r="AY224"/>
      <c r="AZ224"/>
      <c r="BA224"/>
      <c r="BB224" s="173"/>
      <c r="BC224" s="173"/>
      <c r="BD224" s="173"/>
      <c r="BE224" s="173"/>
      <c r="BF224" s="173"/>
      <c r="BG224" s="173"/>
      <c r="BH224" s="173"/>
      <c r="BI224" s="173"/>
      <c r="BJ224" s="173"/>
      <c r="BK224" s="173"/>
      <c r="BL224" s="173"/>
      <c r="BM224" s="173"/>
      <c r="BN224"/>
      <c r="BO224"/>
      <c r="BP224"/>
      <c r="BQ224"/>
    </row>
    <row r="225" spans="2:69" ht="25" customHeight="1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 s="173"/>
      <c r="AQ225"/>
      <c r="AR225"/>
      <c r="AS225"/>
      <c r="AT225"/>
      <c r="AU225"/>
      <c r="AV225"/>
      <c r="AW225"/>
      <c r="AX225"/>
      <c r="AY225"/>
      <c r="AZ225"/>
      <c r="BA225"/>
      <c r="BB225" s="173"/>
      <c r="BC225" s="173"/>
      <c r="BD225" s="173"/>
      <c r="BE225" s="173"/>
      <c r="BF225" s="173"/>
      <c r="BG225" s="173"/>
      <c r="BH225" s="173"/>
      <c r="BI225" s="173"/>
      <c r="BJ225" s="173"/>
      <c r="BK225" s="173"/>
      <c r="BL225" s="173"/>
      <c r="BM225" s="173"/>
      <c r="BN225"/>
      <c r="BO225"/>
      <c r="BP225"/>
      <c r="BQ225"/>
    </row>
    <row r="226" spans="2:69" ht="25" customHeight="1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 s="173"/>
      <c r="AQ226"/>
      <c r="AR226"/>
      <c r="AS226"/>
      <c r="AT226"/>
      <c r="AU226"/>
      <c r="AV226"/>
      <c r="AW226"/>
      <c r="AX226"/>
      <c r="AY226"/>
      <c r="AZ226"/>
      <c r="BA226"/>
      <c r="BB226" s="173"/>
      <c r="BC226" s="173"/>
      <c r="BD226" s="173"/>
      <c r="BE226" s="173"/>
      <c r="BF226" s="173"/>
      <c r="BG226" s="173"/>
      <c r="BH226" s="173"/>
      <c r="BI226" s="173"/>
      <c r="BJ226" s="173"/>
      <c r="BK226" s="173"/>
      <c r="BL226" s="173"/>
      <c r="BM226" s="173"/>
      <c r="BN226"/>
      <c r="BO226"/>
      <c r="BP226"/>
      <c r="BQ226"/>
    </row>
    <row r="227" spans="2:69" ht="25" customHeight="1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 s="173"/>
      <c r="AQ227"/>
      <c r="AR227"/>
      <c r="AS227"/>
      <c r="AT227"/>
      <c r="AU227"/>
      <c r="AV227"/>
      <c r="AW227"/>
      <c r="AX227"/>
      <c r="AY227"/>
      <c r="AZ227"/>
      <c r="BA227"/>
      <c r="BB227" s="173"/>
      <c r="BC227" s="173"/>
      <c r="BD227" s="173"/>
      <c r="BE227" s="173"/>
      <c r="BF227" s="173"/>
      <c r="BG227" s="173"/>
      <c r="BH227" s="173"/>
      <c r="BI227" s="173"/>
      <c r="BJ227" s="173"/>
      <c r="BK227" s="173"/>
      <c r="BL227" s="173"/>
      <c r="BM227" s="173"/>
      <c r="BN227"/>
      <c r="BO227"/>
      <c r="BP227"/>
      <c r="BQ227"/>
    </row>
    <row r="228" spans="2:69" ht="25" customHeight="1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 s="173"/>
      <c r="AQ228"/>
      <c r="AR228"/>
      <c r="AS228"/>
      <c r="AT228"/>
      <c r="AU228"/>
      <c r="AV228"/>
      <c r="AW228"/>
      <c r="AX228"/>
      <c r="AY228"/>
      <c r="AZ228"/>
      <c r="BA228"/>
      <c r="BB228" s="173"/>
      <c r="BC228" s="173"/>
      <c r="BD228" s="173"/>
      <c r="BE228" s="173"/>
      <c r="BF228" s="173"/>
      <c r="BG228" s="173"/>
      <c r="BH228" s="173"/>
      <c r="BI228" s="173"/>
      <c r="BJ228" s="173"/>
      <c r="BK228" s="173"/>
      <c r="BL228" s="173"/>
      <c r="BM228" s="173"/>
      <c r="BN228"/>
      <c r="BO228"/>
      <c r="BP228"/>
      <c r="BQ228"/>
    </row>
    <row r="229" spans="2:69" ht="25" customHeight="1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 s="173"/>
      <c r="AQ229"/>
      <c r="AR229"/>
      <c r="AS229"/>
      <c r="AT229"/>
      <c r="AU229"/>
      <c r="AV229"/>
      <c r="AW229"/>
      <c r="AX229"/>
      <c r="AY229"/>
      <c r="AZ229"/>
      <c r="BA229"/>
      <c r="BB229" s="173"/>
      <c r="BC229" s="173"/>
      <c r="BD229" s="173"/>
      <c r="BE229" s="173"/>
      <c r="BF229" s="173"/>
      <c r="BG229" s="173"/>
      <c r="BH229" s="173"/>
      <c r="BI229" s="173"/>
      <c r="BJ229" s="173"/>
      <c r="BK229" s="173"/>
      <c r="BL229" s="173"/>
      <c r="BM229" s="173"/>
      <c r="BN229"/>
      <c r="BO229"/>
      <c r="BP229"/>
      <c r="BQ229"/>
    </row>
    <row r="230" spans="2:69" ht="25" customHeight="1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 s="173"/>
      <c r="AQ230"/>
      <c r="AR230"/>
      <c r="AS230"/>
      <c r="AT230"/>
      <c r="AU230"/>
      <c r="AV230"/>
      <c r="AW230"/>
      <c r="AX230"/>
      <c r="AY230"/>
      <c r="AZ230"/>
      <c r="BA230"/>
      <c r="BB230" s="173"/>
      <c r="BC230" s="173"/>
      <c r="BD230" s="173"/>
      <c r="BE230" s="173"/>
      <c r="BF230" s="173"/>
      <c r="BG230" s="173"/>
      <c r="BH230" s="173"/>
      <c r="BI230" s="173"/>
      <c r="BJ230" s="173"/>
      <c r="BK230" s="173"/>
      <c r="BL230" s="173"/>
      <c r="BM230" s="173"/>
      <c r="BN230"/>
      <c r="BO230"/>
      <c r="BP230"/>
      <c r="BQ230"/>
    </row>
    <row r="231" spans="2:69" ht="25" customHeight="1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 s="173"/>
      <c r="AQ231"/>
      <c r="AR231"/>
      <c r="AS231"/>
      <c r="AT231"/>
      <c r="AU231"/>
      <c r="AV231"/>
      <c r="AW231"/>
      <c r="AX231"/>
      <c r="AY231"/>
      <c r="AZ231"/>
      <c r="BA231"/>
      <c r="BB231" s="173"/>
      <c r="BC231" s="173"/>
      <c r="BD231" s="173"/>
      <c r="BE231" s="173"/>
      <c r="BF231" s="173"/>
      <c r="BG231" s="173"/>
      <c r="BH231" s="173"/>
      <c r="BI231" s="173"/>
      <c r="BJ231" s="173"/>
      <c r="BK231" s="173"/>
      <c r="BL231" s="173"/>
      <c r="BM231" s="173"/>
      <c r="BN231"/>
      <c r="BO231"/>
      <c r="BP231"/>
      <c r="BQ231"/>
    </row>
    <row r="232" spans="2:69" ht="25" customHeight="1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 s="173"/>
      <c r="AQ232"/>
      <c r="AR232"/>
      <c r="AS232"/>
      <c r="AT232"/>
      <c r="AU232"/>
      <c r="AV232"/>
      <c r="AW232"/>
      <c r="AX232"/>
      <c r="AY232"/>
      <c r="AZ232"/>
      <c r="BA232"/>
      <c r="BB232" s="173"/>
      <c r="BC232" s="173"/>
      <c r="BD232" s="173"/>
      <c r="BE232" s="173"/>
      <c r="BF232" s="173"/>
      <c r="BG232" s="173"/>
      <c r="BH232" s="173"/>
      <c r="BI232" s="173"/>
      <c r="BJ232" s="173"/>
      <c r="BK232" s="173"/>
      <c r="BL232" s="173"/>
      <c r="BM232" s="173"/>
      <c r="BN232"/>
      <c r="BO232"/>
      <c r="BP232"/>
      <c r="BQ232"/>
    </row>
    <row r="233" spans="2:69" ht="25" customHeight="1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 s="173"/>
      <c r="AQ233"/>
      <c r="AR233"/>
      <c r="AS233"/>
      <c r="AT233"/>
      <c r="AU233"/>
      <c r="AV233"/>
      <c r="AW233"/>
      <c r="AX233"/>
      <c r="AY233"/>
      <c r="AZ233"/>
      <c r="BA233"/>
      <c r="BB233" s="173"/>
      <c r="BC233" s="173"/>
      <c r="BD233" s="173"/>
      <c r="BE233" s="173"/>
      <c r="BF233" s="173"/>
      <c r="BG233" s="173"/>
      <c r="BH233" s="173"/>
      <c r="BI233" s="173"/>
      <c r="BJ233" s="173"/>
      <c r="BK233" s="173"/>
      <c r="BL233" s="173"/>
      <c r="BM233" s="173"/>
      <c r="BN233"/>
      <c r="BO233"/>
      <c r="BP233"/>
      <c r="BQ233"/>
    </row>
    <row r="234" spans="2:69" ht="25" customHeight="1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 s="173"/>
      <c r="AQ234"/>
      <c r="AR234"/>
      <c r="AS234"/>
      <c r="AT234"/>
      <c r="AU234"/>
      <c r="AV234"/>
      <c r="AW234"/>
      <c r="AX234"/>
      <c r="AY234"/>
      <c r="AZ234"/>
      <c r="BA234"/>
      <c r="BB234" s="173"/>
      <c r="BC234" s="173"/>
      <c r="BD234" s="173"/>
      <c r="BE234" s="173"/>
      <c r="BF234" s="173"/>
      <c r="BG234" s="173"/>
      <c r="BH234" s="173"/>
      <c r="BI234" s="173"/>
      <c r="BJ234" s="173"/>
      <c r="BK234" s="173"/>
      <c r="BL234" s="173"/>
      <c r="BM234" s="173"/>
      <c r="BN234"/>
      <c r="BO234"/>
      <c r="BP234"/>
      <c r="BQ234"/>
    </row>
    <row r="235" spans="2:69" ht="25" customHeight="1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 s="173"/>
      <c r="AQ235"/>
      <c r="AR235"/>
      <c r="AS235"/>
      <c r="AT235"/>
      <c r="AU235"/>
      <c r="AV235"/>
      <c r="AW235"/>
      <c r="AX235"/>
      <c r="AY235"/>
      <c r="AZ235"/>
      <c r="BA235"/>
      <c r="BB235" s="173"/>
      <c r="BC235" s="173"/>
      <c r="BD235" s="173"/>
      <c r="BE235" s="173"/>
      <c r="BF235" s="173"/>
      <c r="BG235" s="173"/>
      <c r="BH235" s="173"/>
      <c r="BI235" s="173"/>
      <c r="BJ235" s="173"/>
      <c r="BK235" s="173"/>
      <c r="BL235" s="173"/>
      <c r="BM235" s="173"/>
      <c r="BN235"/>
      <c r="BO235"/>
      <c r="BP235"/>
      <c r="BQ235"/>
    </row>
    <row r="236" spans="2:69" ht="25" customHeight="1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 s="173"/>
      <c r="AQ236"/>
      <c r="AR236"/>
      <c r="AS236"/>
      <c r="AT236"/>
      <c r="AU236"/>
      <c r="AV236"/>
      <c r="AW236"/>
      <c r="AX236"/>
      <c r="AY236"/>
      <c r="AZ236"/>
      <c r="BA236"/>
      <c r="BB236" s="173"/>
      <c r="BC236" s="173"/>
      <c r="BD236" s="173"/>
      <c r="BE236" s="173"/>
      <c r="BF236" s="173"/>
      <c r="BG236" s="173"/>
      <c r="BH236" s="173"/>
      <c r="BI236" s="173"/>
      <c r="BJ236" s="173"/>
      <c r="BK236" s="173"/>
      <c r="BL236" s="173"/>
      <c r="BM236" s="173"/>
      <c r="BN236"/>
      <c r="BO236"/>
      <c r="BP236"/>
      <c r="BQ236"/>
    </row>
    <row r="237" spans="2:69" ht="25" customHeight="1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 s="173"/>
      <c r="AQ237"/>
      <c r="AR237"/>
      <c r="AS237"/>
      <c r="AT237"/>
      <c r="AU237"/>
      <c r="AV237"/>
      <c r="AW237"/>
      <c r="AX237"/>
      <c r="AY237"/>
      <c r="AZ237"/>
      <c r="BA237"/>
      <c r="BB237" s="173"/>
      <c r="BC237" s="173"/>
      <c r="BD237" s="173"/>
      <c r="BE237" s="173"/>
      <c r="BF237" s="173"/>
      <c r="BG237" s="173"/>
      <c r="BH237" s="173"/>
      <c r="BI237" s="173"/>
      <c r="BJ237" s="173"/>
      <c r="BK237" s="173"/>
      <c r="BL237" s="173"/>
      <c r="BM237" s="173"/>
      <c r="BN237"/>
      <c r="BO237"/>
      <c r="BP237"/>
      <c r="BQ237"/>
    </row>
    <row r="238" spans="2:69" ht="25" customHeight="1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 s="173"/>
      <c r="AQ238"/>
      <c r="AR238"/>
      <c r="AS238"/>
      <c r="AT238"/>
      <c r="AU238"/>
      <c r="AV238"/>
      <c r="AW238"/>
      <c r="AX238"/>
      <c r="AY238"/>
      <c r="AZ238"/>
      <c r="BA238"/>
      <c r="BB238" s="173"/>
      <c r="BC238" s="173"/>
      <c r="BD238" s="173"/>
      <c r="BE238" s="173"/>
      <c r="BF238" s="173"/>
      <c r="BG238" s="173"/>
      <c r="BH238" s="173"/>
      <c r="BI238" s="173"/>
      <c r="BJ238" s="173"/>
      <c r="BK238" s="173"/>
      <c r="BL238" s="173"/>
      <c r="BM238" s="173"/>
      <c r="BN238"/>
      <c r="BO238"/>
      <c r="BP238"/>
      <c r="BQ238"/>
    </row>
    <row r="239" spans="2:69" ht="25" customHeight="1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 s="173"/>
      <c r="AQ239"/>
      <c r="AR239"/>
      <c r="AS239"/>
      <c r="AT239"/>
      <c r="AU239"/>
      <c r="AV239"/>
      <c r="AW239"/>
      <c r="AX239"/>
      <c r="AY239"/>
      <c r="AZ239"/>
      <c r="BA239"/>
      <c r="BB239" s="173"/>
      <c r="BC239" s="173"/>
      <c r="BD239" s="173"/>
      <c r="BE239" s="173"/>
      <c r="BF239" s="173"/>
      <c r="BG239" s="173"/>
      <c r="BH239" s="173"/>
      <c r="BI239" s="173"/>
      <c r="BJ239" s="173"/>
      <c r="BK239" s="173"/>
      <c r="BL239" s="173"/>
      <c r="BM239" s="173"/>
      <c r="BN239"/>
      <c r="BO239"/>
      <c r="BP239"/>
      <c r="BQ239"/>
    </row>
    <row r="240" spans="2:69" ht="25" customHeight="1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 s="173"/>
      <c r="AQ240"/>
      <c r="AR240"/>
      <c r="AS240"/>
      <c r="AT240"/>
      <c r="AU240"/>
      <c r="AV240"/>
      <c r="AW240"/>
      <c r="AX240"/>
      <c r="AY240"/>
      <c r="AZ240"/>
      <c r="BA240"/>
      <c r="BB240" s="173"/>
      <c r="BC240" s="173"/>
      <c r="BD240" s="173"/>
      <c r="BE240" s="173"/>
      <c r="BF240" s="173"/>
      <c r="BG240" s="173"/>
      <c r="BH240" s="173"/>
      <c r="BI240" s="173"/>
      <c r="BJ240" s="173"/>
      <c r="BK240" s="173"/>
      <c r="BL240" s="173"/>
      <c r="BM240" s="173"/>
      <c r="BN240"/>
      <c r="BO240"/>
      <c r="BP240"/>
      <c r="BQ240"/>
    </row>
    <row r="241" spans="2:69" ht="25" customHeight="1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 s="173"/>
      <c r="AQ241"/>
      <c r="AR241"/>
      <c r="AS241"/>
      <c r="AT241"/>
      <c r="AU241"/>
      <c r="AV241"/>
      <c r="AW241"/>
      <c r="AX241"/>
      <c r="AY241"/>
      <c r="AZ241"/>
      <c r="BA241"/>
      <c r="BB241" s="173"/>
      <c r="BC241" s="173"/>
      <c r="BD241" s="173"/>
      <c r="BE241" s="173"/>
      <c r="BF241" s="173"/>
      <c r="BG241" s="173"/>
      <c r="BH241" s="173"/>
      <c r="BI241" s="173"/>
      <c r="BJ241" s="173"/>
      <c r="BK241" s="173"/>
      <c r="BL241" s="173"/>
      <c r="BM241" s="173"/>
      <c r="BN241"/>
      <c r="BO241"/>
      <c r="BP241"/>
      <c r="BQ241"/>
    </row>
    <row r="242" spans="2:69" ht="25" customHeight="1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 s="173"/>
      <c r="AQ242"/>
      <c r="AR242"/>
      <c r="AS242"/>
      <c r="AT242"/>
      <c r="AU242"/>
      <c r="AV242"/>
      <c r="AW242"/>
      <c r="AX242"/>
      <c r="AY242"/>
      <c r="AZ242"/>
      <c r="BA242"/>
      <c r="BB242" s="173"/>
      <c r="BC242" s="173"/>
      <c r="BD242" s="173"/>
      <c r="BE242" s="173"/>
      <c r="BF242" s="173"/>
      <c r="BG242" s="173"/>
      <c r="BH242" s="173"/>
      <c r="BI242" s="173"/>
      <c r="BJ242" s="173"/>
      <c r="BK242" s="173"/>
      <c r="BL242" s="173"/>
      <c r="BM242" s="173"/>
      <c r="BN242"/>
      <c r="BO242"/>
      <c r="BP242"/>
      <c r="BQ242"/>
    </row>
    <row r="243" spans="2:69" ht="25" customHeight="1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 s="173"/>
      <c r="AQ243"/>
      <c r="AR243"/>
      <c r="AS243"/>
      <c r="AT243"/>
      <c r="AU243"/>
      <c r="AV243"/>
      <c r="AW243"/>
      <c r="AX243"/>
      <c r="AY243"/>
      <c r="AZ243"/>
      <c r="BA243"/>
      <c r="BB243" s="173"/>
      <c r="BC243" s="173"/>
      <c r="BD243" s="173"/>
      <c r="BE243" s="173"/>
      <c r="BF243" s="173"/>
      <c r="BG243" s="173"/>
      <c r="BH243" s="173"/>
      <c r="BI243" s="173"/>
      <c r="BJ243" s="173"/>
      <c r="BK243" s="173"/>
      <c r="BL243" s="173"/>
      <c r="BM243" s="173"/>
      <c r="BN243"/>
      <c r="BO243"/>
      <c r="BP243"/>
      <c r="BQ243"/>
    </row>
    <row r="244" spans="2:69" ht="25" customHeight="1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 s="173"/>
      <c r="AQ244"/>
      <c r="AR244"/>
      <c r="AS244"/>
      <c r="AT244"/>
      <c r="AU244"/>
      <c r="AV244"/>
      <c r="AW244"/>
      <c r="AX244"/>
      <c r="AY244"/>
      <c r="AZ244"/>
      <c r="BA244"/>
      <c r="BB244" s="173"/>
      <c r="BC244" s="173"/>
      <c r="BD244" s="173"/>
      <c r="BE244" s="173"/>
      <c r="BF244" s="173"/>
      <c r="BG244" s="173"/>
      <c r="BH244" s="173"/>
      <c r="BI244" s="173"/>
      <c r="BJ244" s="173"/>
      <c r="BK244" s="173"/>
      <c r="BL244" s="173"/>
      <c r="BM244" s="173"/>
      <c r="BN244"/>
      <c r="BO244"/>
      <c r="BP244"/>
      <c r="BQ244"/>
    </row>
    <row r="245" spans="2:69" ht="25" customHeight="1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 s="173"/>
      <c r="AQ245"/>
      <c r="AR245"/>
      <c r="AS245"/>
      <c r="AT245"/>
      <c r="AU245"/>
      <c r="AV245"/>
      <c r="AW245"/>
      <c r="AX245"/>
      <c r="AY245"/>
      <c r="AZ245"/>
      <c r="BA245"/>
      <c r="BB245" s="173"/>
      <c r="BC245" s="173"/>
      <c r="BD245" s="173"/>
      <c r="BE245" s="173"/>
      <c r="BF245" s="173"/>
      <c r="BG245" s="173"/>
      <c r="BH245" s="173"/>
      <c r="BI245" s="173"/>
      <c r="BJ245" s="173"/>
      <c r="BK245" s="173"/>
      <c r="BL245" s="173"/>
      <c r="BM245" s="173"/>
      <c r="BN245"/>
      <c r="BO245"/>
      <c r="BP245"/>
      <c r="BQ245"/>
    </row>
    <row r="246" spans="2:69" ht="25" customHeight="1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 s="173"/>
      <c r="AQ246"/>
      <c r="AR246"/>
      <c r="AS246"/>
      <c r="AT246"/>
      <c r="AU246"/>
      <c r="AV246"/>
      <c r="AW246"/>
      <c r="AX246"/>
      <c r="AY246"/>
      <c r="AZ246"/>
      <c r="BA246"/>
      <c r="BB246" s="173"/>
      <c r="BC246" s="173"/>
      <c r="BD246" s="173"/>
      <c r="BE246" s="173"/>
      <c r="BF246" s="173"/>
      <c r="BG246" s="173"/>
      <c r="BH246" s="173"/>
      <c r="BI246" s="173"/>
      <c r="BJ246" s="173"/>
      <c r="BK246" s="173"/>
      <c r="BL246" s="173"/>
      <c r="BM246" s="173"/>
      <c r="BN246"/>
      <c r="BO246"/>
      <c r="BP246"/>
      <c r="BQ246"/>
    </row>
    <row r="247" spans="2:69" ht="25" customHeight="1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 s="173"/>
      <c r="AQ247"/>
      <c r="AR247"/>
      <c r="AS247"/>
      <c r="AT247"/>
      <c r="AU247"/>
      <c r="AV247"/>
      <c r="AW247"/>
      <c r="AX247"/>
      <c r="AY247"/>
      <c r="AZ247"/>
      <c r="BA247"/>
      <c r="BB247" s="173"/>
      <c r="BC247" s="173"/>
      <c r="BD247" s="173"/>
      <c r="BE247" s="173"/>
      <c r="BF247" s="173"/>
      <c r="BG247" s="173"/>
      <c r="BH247" s="173"/>
      <c r="BI247" s="173"/>
      <c r="BJ247" s="173"/>
      <c r="BK247" s="173"/>
      <c r="BL247" s="173"/>
      <c r="BM247" s="173"/>
      <c r="BN247"/>
      <c r="BO247"/>
      <c r="BP247"/>
      <c r="BQ247"/>
    </row>
    <row r="248" spans="2:69" ht="25" customHeight="1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 s="173"/>
      <c r="AQ248"/>
      <c r="AR248"/>
      <c r="AS248"/>
      <c r="AT248"/>
      <c r="AU248"/>
      <c r="AV248"/>
      <c r="AW248"/>
      <c r="AX248"/>
      <c r="AY248"/>
      <c r="AZ248"/>
      <c r="BA248"/>
      <c r="BB248" s="173"/>
      <c r="BC248" s="173"/>
      <c r="BD248" s="173"/>
      <c r="BE248" s="173"/>
      <c r="BF248" s="173"/>
      <c r="BG248" s="173"/>
      <c r="BH248" s="173"/>
      <c r="BI248" s="173"/>
      <c r="BJ248" s="173"/>
      <c r="BK248" s="173"/>
      <c r="BL248" s="173"/>
      <c r="BM248" s="173"/>
      <c r="BN248"/>
      <c r="BO248"/>
      <c r="BP248"/>
      <c r="BQ248"/>
    </row>
    <row r="249" spans="2:69" ht="25" customHeight="1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 s="173"/>
      <c r="AQ249"/>
      <c r="AR249"/>
      <c r="AS249"/>
      <c r="AT249"/>
      <c r="AU249"/>
      <c r="AV249"/>
      <c r="AW249"/>
      <c r="AX249"/>
      <c r="AY249"/>
      <c r="AZ249"/>
      <c r="BA249"/>
      <c r="BB249" s="173"/>
      <c r="BC249" s="173"/>
      <c r="BD249" s="173"/>
      <c r="BE249" s="173"/>
      <c r="BF249" s="173"/>
      <c r="BG249" s="173"/>
      <c r="BH249" s="173"/>
      <c r="BI249" s="173"/>
      <c r="BJ249" s="173"/>
      <c r="BK249" s="173"/>
      <c r="BL249" s="173"/>
      <c r="BM249" s="173"/>
      <c r="BN249"/>
      <c r="BO249"/>
      <c r="BP249"/>
      <c r="BQ249"/>
    </row>
    <row r="250" spans="2:69" ht="25" customHeight="1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 s="173"/>
      <c r="AQ250"/>
      <c r="AR250"/>
      <c r="AS250"/>
      <c r="AT250"/>
      <c r="AU250"/>
      <c r="AV250"/>
      <c r="AW250"/>
      <c r="AX250"/>
      <c r="AY250"/>
      <c r="AZ250"/>
      <c r="BA250"/>
      <c r="BB250" s="173"/>
      <c r="BC250" s="173"/>
      <c r="BD250" s="173"/>
      <c r="BE250" s="173"/>
      <c r="BF250" s="173"/>
      <c r="BG250" s="173"/>
      <c r="BH250" s="173"/>
      <c r="BI250" s="173"/>
      <c r="BJ250" s="173"/>
      <c r="BK250" s="173"/>
      <c r="BL250" s="173"/>
      <c r="BM250" s="173"/>
      <c r="BN250"/>
      <c r="BO250"/>
      <c r="BP250"/>
      <c r="BQ250"/>
    </row>
    <row r="251" spans="2:69" ht="25" customHeight="1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 s="173"/>
      <c r="AQ251"/>
      <c r="AR251"/>
      <c r="AS251"/>
      <c r="AT251"/>
      <c r="AU251"/>
      <c r="AV251"/>
      <c r="AW251"/>
      <c r="AX251"/>
      <c r="AY251"/>
      <c r="AZ251"/>
      <c r="BA251"/>
      <c r="BB251" s="173"/>
      <c r="BC251" s="173"/>
      <c r="BD251" s="173"/>
      <c r="BE251" s="173"/>
      <c r="BF251" s="173"/>
      <c r="BG251" s="173"/>
      <c r="BH251" s="173"/>
      <c r="BI251" s="173"/>
      <c r="BJ251" s="173"/>
      <c r="BK251" s="173"/>
      <c r="BL251" s="173"/>
      <c r="BM251" s="173"/>
      <c r="BN251"/>
      <c r="BO251"/>
      <c r="BP251"/>
      <c r="BQ251"/>
    </row>
    <row r="252" spans="2:69" ht="25" customHeight="1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 s="173"/>
      <c r="AQ252"/>
      <c r="AR252"/>
      <c r="AS252"/>
      <c r="AT252"/>
      <c r="AU252"/>
      <c r="AV252"/>
      <c r="AW252"/>
      <c r="AX252"/>
      <c r="AY252"/>
      <c r="AZ252"/>
      <c r="BA252"/>
      <c r="BB252" s="173"/>
      <c r="BC252" s="173"/>
      <c r="BD252" s="173"/>
      <c r="BE252" s="173"/>
      <c r="BF252" s="173"/>
      <c r="BG252" s="173"/>
      <c r="BH252" s="173"/>
      <c r="BI252" s="173"/>
      <c r="BJ252" s="173"/>
      <c r="BK252" s="173"/>
      <c r="BL252" s="173"/>
      <c r="BM252" s="173"/>
      <c r="BN252"/>
      <c r="BO252"/>
      <c r="BP252"/>
      <c r="BQ252"/>
    </row>
    <row r="253" spans="2:69" ht="25" customHeight="1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 s="173"/>
      <c r="AQ253"/>
      <c r="AR253"/>
      <c r="AS253"/>
      <c r="AT253"/>
      <c r="AU253"/>
      <c r="AV253"/>
      <c r="AW253"/>
      <c r="AX253"/>
      <c r="AY253"/>
      <c r="AZ253"/>
      <c r="BA253"/>
      <c r="BB253" s="173"/>
      <c r="BC253" s="173"/>
      <c r="BD253" s="173"/>
      <c r="BE253" s="173"/>
      <c r="BF253" s="173"/>
      <c r="BG253" s="173"/>
      <c r="BH253" s="173"/>
      <c r="BI253" s="173"/>
      <c r="BJ253" s="173"/>
      <c r="BK253" s="173"/>
      <c r="BL253" s="173"/>
      <c r="BM253" s="173"/>
      <c r="BN253"/>
      <c r="BO253"/>
      <c r="BP253"/>
      <c r="BQ253"/>
    </row>
    <row r="254" spans="2:69" ht="25" customHeight="1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 s="173"/>
      <c r="AQ254"/>
      <c r="AR254"/>
      <c r="AS254"/>
      <c r="AT254"/>
      <c r="AU254"/>
      <c r="AV254"/>
      <c r="AW254"/>
      <c r="AX254"/>
      <c r="AY254"/>
      <c r="AZ254"/>
      <c r="BA254"/>
      <c r="BB254" s="173"/>
      <c r="BC254" s="173"/>
      <c r="BD254" s="173"/>
      <c r="BE254" s="173"/>
      <c r="BF254" s="173"/>
      <c r="BG254" s="173"/>
      <c r="BH254" s="173"/>
      <c r="BI254" s="173"/>
      <c r="BJ254" s="173"/>
      <c r="BK254" s="173"/>
      <c r="BL254" s="173"/>
      <c r="BM254" s="173"/>
      <c r="BN254"/>
      <c r="BO254"/>
      <c r="BP254"/>
      <c r="BQ254"/>
    </row>
    <row r="255" spans="2:69" ht="25" customHeight="1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 s="173"/>
      <c r="AQ255"/>
      <c r="AR255"/>
      <c r="AS255"/>
      <c r="AT255"/>
      <c r="AU255"/>
      <c r="AV255"/>
      <c r="AW255"/>
      <c r="AX255"/>
      <c r="AY255"/>
      <c r="AZ255"/>
      <c r="BA255"/>
      <c r="BB255" s="173"/>
      <c r="BC255" s="173"/>
      <c r="BD255" s="173"/>
      <c r="BE255" s="173"/>
      <c r="BF255" s="173"/>
      <c r="BG255" s="173"/>
      <c r="BH255" s="173"/>
      <c r="BI255" s="173"/>
      <c r="BJ255" s="173"/>
      <c r="BK255" s="173"/>
      <c r="BL255" s="173"/>
      <c r="BM255" s="173"/>
      <c r="BN255"/>
      <c r="BO255"/>
      <c r="BP255"/>
      <c r="BQ255"/>
    </row>
    <row r="256" spans="2:69" ht="25" customHeight="1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 s="173"/>
      <c r="AQ256"/>
      <c r="AR256"/>
      <c r="AS256"/>
      <c r="AT256"/>
      <c r="AU256"/>
      <c r="AV256"/>
      <c r="AW256"/>
      <c r="AX256"/>
      <c r="AY256"/>
      <c r="AZ256"/>
      <c r="BA256"/>
      <c r="BB256" s="173"/>
      <c r="BC256" s="173"/>
      <c r="BD256" s="173"/>
      <c r="BE256" s="173"/>
      <c r="BF256" s="173"/>
      <c r="BG256" s="173"/>
      <c r="BH256" s="173"/>
      <c r="BI256" s="173"/>
      <c r="BJ256" s="173"/>
      <c r="BK256" s="173"/>
      <c r="BL256" s="173"/>
      <c r="BM256" s="173"/>
      <c r="BN256"/>
      <c r="BO256"/>
      <c r="BP256"/>
      <c r="BQ256"/>
    </row>
    <row r="257" spans="2:69" ht="25" customHeight="1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 s="173"/>
      <c r="AQ257"/>
      <c r="AR257"/>
      <c r="AS257"/>
      <c r="AT257"/>
      <c r="AU257"/>
      <c r="AV257"/>
      <c r="AW257"/>
      <c r="AX257"/>
      <c r="AY257"/>
      <c r="AZ257"/>
      <c r="BA257"/>
      <c r="BB257" s="173"/>
      <c r="BC257" s="173"/>
      <c r="BD257" s="173"/>
      <c r="BE257" s="173"/>
      <c r="BF257" s="173"/>
      <c r="BG257" s="173"/>
      <c r="BH257" s="173"/>
      <c r="BI257" s="173"/>
      <c r="BJ257" s="173"/>
      <c r="BK257" s="173"/>
      <c r="BL257" s="173"/>
      <c r="BM257" s="173"/>
      <c r="BN257"/>
      <c r="BO257"/>
      <c r="BP257"/>
      <c r="BQ257"/>
    </row>
    <row r="258" spans="2:69" ht="25" customHeight="1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 s="173"/>
      <c r="AQ258"/>
      <c r="AR258"/>
      <c r="AS258"/>
      <c r="AT258"/>
      <c r="AU258"/>
      <c r="AV258"/>
      <c r="AW258"/>
      <c r="AX258"/>
      <c r="AY258"/>
      <c r="AZ258"/>
      <c r="BA258"/>
      <c r="BB258" s="173"/>
      <c r="BC258" s="173"/>
      <c r="BD258" s="173"/>
      <c r="BE258" s="173"/>
      <c r="BF258" s="173"/>
      <c r="BG258" s="173"/>
      <c r="BH258" s="173"/>
      <c r="BI258" s="173"/>
      <c r="BJ258" s="173"/>
      <c r="BK258" s="173"/>
      <c r="BL258" s="173"/>
      <c r="BM258" s="173"/>
      <c r="BN258"/>
      <c r="BO258"/>
      <c r="BP258"/>
      <c r="BQ258"/>
    </row>
    <row r="259" spans="2:69" ht="25" customHeight="1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 s="173"/>
      <c r="AQ259"/>
      <c r="AR259"/>
      <c r="AS259"/>
      <c r="AT259"/>
      <c r="AU259"/>
      <c r="AV259"/>
      <c r="AW259"/>
      <c r="AX259"/>
      <c r="AY259"/>
      <c r="AZ259"/>
      <c r="BA259"/>
      <c r="BB259" s="173"/>
      <c r="BC259" s="173"/>
      <c r="BD259" s="173"/>
      <c r="BE259" s="173"/>
      <c r="BF259" s="173"/>
      <c r="BG259" s="173"/>
      <c r="BH259" s="173"/>
      <c r="BI259" s="173"/>
      <c r="BJ259" s="173"/>
      <c r="BK259" s="173"/>
      <c r="BL259" s="173"/>
      <c r="BM259" s="173"/>
      <c r="BN259"/>
      <c r="BO259"/>
      <c r="BP259"/>
      <c r="BQ259"/>
    </row>
    <row r="260" spans="2:69" ht="25" customHeight="1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 s="173"/>
      <c r="AQ260"/>
      <c r="AR260"/>
      <c r="AS260"/>
      <c r="AT260"/>
      <c r="AU260"/>
      <c r="AV260"/>
      <c r="AW260"/>
      <c r="AX260"/>
      <c r="AY260"/>
      <c r="AZ260"/>
      <c r="BA260"/>
      <c r="BB260" s="173"/>
      <c r="BC260" s="173"/>
      <c r="BD260" s="173"/>
      <c r="BE260" s="173"/>
      <c r="BF260" s="173"/>
      <c r="BG260" s="173"/>
      <c r="BH260" s="173"/>
      <c r="BI260" s="173"/>
      <c r="BJ260" s="173"/>
      <c r="BK260" s="173"/>
      <c r="BL260" s="173"/>
      <c r="BM260" s="173"/>
      <c r="BN260"/>
      <c r="BO260"/>
      <c r="BP260"/>
      <c r="BQ260"/>
    </row>
    <row r="261" spans="2:69" ht="25" customHeight="1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 s="173"/>
      <c r="AQ261"/>
      <c r="AR261"/>
      <c r="AS261"/>
      <c r="AT261"/>
      <c r="AU261"/>
      <c r="AV261"/>
      <c r="AW261"/>
      <c r="AX261"/>
      <c r="AY261"/>
      <c r="AZ261"/>
      <c r="BA261"/>
      <c r="BB261" s="173"/>
      <c r="BC261" s="173"/>
      <c r="BD261" s="173"/>
      <c r="BE261" s="173"/>
      <c r="BF261" s="173"/>
      <c r="BG261" s="173"/>
      <c r="BH261" s="173"/>
      <c r="BI261" s="173"/>
      <c r="BJ261" s="173"/>
      <c r="BK261" s="173"/>
      <c r="BL261" s="173"/>
      <c r="BM261" s="173"/>
      <c r="BN261"/>
      <c r="BO261"/>
      <c r="BP261"/>
      <c r="BQ261"/>
    </row>
    <row r="262" spans="2:69" ht="25" customHeight="1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 s="173"/>
      <c r="AQ262"/>
      <c r="AR262"/>
      <c r="AS262"/>
      <c r="AT262"/>
      <c r="AU262"/>
      <c r="AV262"/>
      <c r="AW262"/>
      <c r="AX262"/>
      <c r="AY262"/>
      <c r="AZ262"/>
      <c r="BA262"/>
      <c r="BB262" s="173"/>
      <c r="BC262" s="173"/>
      <c r="BD262" s="173"/>
      <c r="BE262" s="173"/>
      <c r="BF262" s="173"/>
      <c r="BG262" s="173"/>
      <c r="BH262" s="173"/>
      <c r="BI262" s="173"/>
      <c r="BJ262" s="173"/>
      <c r="BK262" s="173"/>
      <c r="BL262" s="173"/>
      <c r="BM262" s="173"/>
      <c r="BN262"/>
      <c r="BO262"/>
      <c r="BP262"/>
      <c r="BQ262"/>
    </row>
    <row r="263" spans="2:69" ht="25" customHeight="1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 s="173"/>
      <c r="AQ263"/>
      <c r="AR263"/>
      <c r="AS263"/>
      <c r="AT263"/>
      <c r="AU263"/>
      <c r="AV263"/>
      <c r="AW263"/>
      <c r="AX263"/>
      <c r="AY263"/>
      <c r="AZ263"/>
      <c r="BA263"/>
      <c r="BB263" s="173"/>
      <c r="BC263" s="173"/>
      <c r="BD263" s="173"/>
      <c r="BE263" s="173"/>
      <c r="BF263" s="173"/>
      <c r="BG263" s="173"/>
      <c r="BH263" s="173"/>
      <c r="BI263" s="173"/>
      <c r="BJ263" s="173"/>
      <c r="BK263" s="173"/>
      <c r="BL263" s="173"/>
      <c r="BM263" s="173"/>
      <c r="BN263"/>
      <c r="BO263"/>
      <c r="BP263"/>
      <c r="BQ263"/>
    </row>
    <row r="264" spans="2:69" ht="25" customHeight="1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 s="173"/>
      <c r="AQ264"/>
      <c r="AR264"/>
      <c r="AS264"/>
      <c r="AT264"/>
      <c r="AU264"/>
      <c r="AV264"/>
      <c r="AW264"/>
      <c r="AX264"/>
      <c r="AY264"/>
      <c r="AZ264"/>
      <c r="BA264"/>
      <c r="BB264" s="173"/>
      <c r="BC264" s="173"/>
      <c r="BD264" s="173"/>
      <c r="BE264" s="173"/>
      <c r="BF264" s="173"/>
      <c r="BG264" s="173"/>
      <c r="BH264" s="173"/>
      <c r="BI264" s="173"/>
      <c r="BJ264" s="173"/>
      <c r="BK264" s="173"/>
      <c r="BL264" s="173"/>
      <c r="BM264" s="173"/>
      <c r="BN264"/>
      <c r="BO264"/>
      <c r="BP264"/>
      <c r="BQ264"/>
    </row>
    <row r="265" spans="2:69" ht="25" customHeight="1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 s="173"/>
      <c r="AQ265"/>
      <c r="AR265"/>
      <c r="AS265"/>
      <c r="AT265"/>
      <c r="AU265"/>
      <c r="AV265"/>
      <c r="AW265"/>
      <c r="AX265"/>
      <c r="AY265"/>
      <c r="AZ265"/>
      <c r="BA265"/>
      <c r="BB265" s="173"/>
      <c r="BC265" s="173"/>
      <c r="BD265" s="173"/>
      <c r="BE265" s="173"/>
      <c r="BF265" s="173"/>
      <c r="BG265" s="173"/>
      <c r="BH265" s="173"/>
      <c r="BI265" s="173"/>
      <c r="BJ265" s="173"/>
      <c r="BK265" s="173"/>
      <c r="BL265" s="173"/>
      <c r="BM265" s="173"/>
      <c r="BN265"/>
      <c r="BO265"/>
      <c r="BP265"/>
      <c r="BQ265"/>
    </row>
    <row r="266" spans="2:69" ht="25" customHeight="1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 s="173"/>
      <c r="AQ266"/>
      <c r="AR266"/>
      <c r="AS266"/>
      <c r="AT266"/>
      <c r="AU266"/>
      <c r="AV266"/>
      <c r="AW266"/>
      <c r="AX266"/>
      <c r="AY266"/>
      <c r="AZ266"/>
      <c r="BA266"/>
      <c r="BB266" s="173"/>
      <c r="BC266" s="173"/>
      <c r="BD266" s="173"/>
      <c r="BE266" s="173"/>
      <c r="BF266" s="173"/>
      <c r="BG266" s="173"/>
      <c r="BH266" s="173"/>
      <c r="BI266" s="173"/>
      <c r="BJ266" s="173"/>
      <c r="BK266" s="173"/>
      <c r="BL266" s="173"/>
      <c r="BM266" s="173"/>
      <c r="BN266"/>
      <c r="BO266"/>
      <c r="BP266"/>
      <c r="BQ266"/>
    </row>
    <row r="267" spans="2:69" ht="25" customHeight="1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 s="173"/>
      <c r="AQ267"/>
      <c r="AR267"/>
      <c r="AS267"/>
      <c r="AT267"/>
      <c r="AU267"/>
      <c r="AV267"/>
      <c r="AW267"/>
      <c r="AX267"/>
      <c r="AY267"/>
      <c r="AZ267"/>
      <c r="BA267"/>
      <c r="BB267" s="173"/>
      <c r="BC267" s="173"/>
      <c r="BD267" s="173"/>
      <c r="BE267" s="173"/>
      <c r="BF267" s="173"/>
      <c r="BG267" s="173"/>
      <c r="BH267" s="173"/>
      <c r="BI267" s="173"/>
      <c r="BJ267" s="173"/>
      <c r="BK267" s="173"/>
      <c r="BL267" s="173"/>
      <c r="BM267" s="173"/>
      <c r="BN267"/>
      <c r="BO267"/>
      <c r="BP267"/>
      <c r="BQ267"/>
    </row>
    <row r="268" spans="2:69" ht="25" customHeight="1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 s="173"/>
      <c r="AQ268"/>
      <c r="AR268"/>
      <c r="AS268"/>
      <c r="AT268"/>
      <c r="AU268"/>
      <c r="AV268"/>
      <c r="AW268"/>
      <c r="AX268"/>
      <c r="AY268"/>
      <c r="AZ268"/>
      <c r="BA268"/>
      <c r="BB268" s="173"/>
      <c r="BC268" s="173"/>
      <c r="BD268" s="173"/>
      <c r="BE268" s="173"/>
      <c r="BF268" s="173"/>
      <c r="BG268" s="173"/>
      <c r="BH268" s="173"/>
      <c r="BI268" s="173"/>
      <c r="BJ268" s="173"/>
      <c r="BK268" s="173"/>
      <c r="BL268" s="173"/>
      <c r="BM268" s="173"/>
      <c r="BN268"/>
      <c r="BO268"/>
      <c r="BP268"/>
      <c r="BQ268"/>
    </row>
    <row r="269" spans="2:69" ht="25" customHeight="1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 s="173"/>
      <c r="AQ269"/>
      <c r="AR269"/>
      <c r="AS269"/>
      <c r="AT269"/>
      <c r="AU269"/>
      <c r="AV269"/>
      <c r="AW269"/>
      <c r="AX269"/>
      <c r="AY269"/>
      <c r="AZ269"/>
      <c r="BA269"/>
      <c r="BB269" s="173"/>
      <c r="BC269" s="173"/>
      <c r="BD269" s="173"/>
      <c r="BE269" s="173"/>
      <c r="BF269" s="173"/>
      <c r="BG269" s="173"/>
      <c r="BH269" s="173"/>
      <c r="BI269" s="173"/>
      <c r="BJ269" s="173"/>
      <c r="BK269" s="173"/>
      <c r="BL269" s="173"/>
      <c r="BM269" s="173"/>
      <c r="BN269"/>
      <c r="BO269"/>
      <c r="BP269"/>
      <c r="BQ269"/>
    </row>
    <row r="270" spans="2:69" ht="25" customHeight="1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 s="173"/>
      <c r="AQ270"/>
      <c r="AR270"/>
      <c r="AS270"/>
      <c r="AT270"/>
      <c r="AU270"/>
      <c r="AV270"/>
      <c r="AW270"/>
      <c r="AX270"/>
      <c r="AY270"/>
      <c r="AZ270"/>
      <c r="BA270"/>
      <c r="BB270" s="173"/>
      <c r="BC270" s="173"/>
      <c r="BD270" s="173"/>
      <c r="BE270" s="173"/>
      <c r="BF270" s="173"/>
      <c r="BG270" s="173"/>
      <c r="BH270" s="173"/>
      <c r="BI270" s="173"/>
      <c r="BJ270" s="173"/>
      <c r="BK270" s="173"/>
      <c r="BL270" s="173"/>
      <c r="BM270" s="173"/>
      <c r="BN270"/>
      <c r="BO270"/>
      <c r="BP270"/>
      <c r="BQ270"/>
    </row>
    <row r="271" spans="2:69" ht="25" customHeight="1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 s="173"/>
      <c r="AQ271"/>
      <c r="AR271"/>
      <c r="AS271"/>
      <c r="AT271"/>
      <c r="AU271"/>
      <c r="AV271"/>
      <c r="AW271"/>
      <c r="AX271"/>
      <c r="AY271"/>
      <c r="AZ271"/>
      <c r="BA271"/>
      <c r="BB271" s="173"/>
      <c r="BC271" s="173"/>
      <c r="BD271" s="173"/>
      <c r="BE271" s="173"/>
      <c r="BF271" s="173"/>
      <c r="BG271" s="173"/>
      <c r="BH271" s="173"/>
      <c r="BI271" s="173"/>
      <c r="BJ271" s="173"/>
      <c r="BK271" s="173"/>
      <c r="BL271" s="173"/>
      <c r="BM271" s="173"/>
      <c r="BN271"/>
      <c r="BO271"/>
      <c r="BP271"/>
      <c r="BQ271"/>
    </row>
    <row r="272" spans="2:69" ht="25" customHeight="1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 s="173"/>
      <c r="AQ272"/>
      <c r="AR272"/>
      <c r="AS272"/>
      <c r="AT272"/>
      <c r="AU272"/>
      <c r="AV272"/>
      <c r="AW272"/>
      <c r="AX272"/>
      <c r="AY272"/>
      <c r="AZ272"/>
      <c r="BA272"/>
      <c r="BB272" s="173"/>
      <c r="BC272" s="173"/>
      <c r="BD272" s="173"/>
      <c r="BE272" s="173"/>
      <c r="BF272" s="173"/>
      <c r="BG272" s="173"/>
      <c r="BH272" s="173"/>
      <c r="BI272" s="173"/>
      <c r="BJ272" s="173"/>
      <c r="BK272" s="173"/>
      <c r="BL272" s="173"/>
      <c r="BM272" s="173"/>
      <c r="BN272"/>
      <c r="BO272"/>
      <c r="BP272"/>
      <c r="BQ272"/>
    </row>
    <row r="273" spans="2:69" ht="25" customHeight="1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 s="173"/>
      <c r="AQ273"/>
      <c r="AR273"/>
      <c r="AS273"/>
      <c r="AT273"/>
      <c r="AU273"/>
      <c r="AV273"/>
      <c r="AW273"/>
      <c r="AX273"/>
      <c r="AY273"/>
      <c r="AZ273"/>
      <c r="BA273"/>
      <c r="BB273" s="173"/>
      <c r="BC273" s="173"/>
      <c r="BD273" s="173"/>
      <c r="BE273" s="173"/>
      <c r="BF273" s="173"/>
      <c r="BG273" s="173"/>
      <c r="BH273" s="173"/>
      <c r="BI273" s="173"/>
      <c r="BJ273" s="173"/>
      <c r="BK273" s="173"/>
      <c r="BL273" s="173"/>
      <c r="BM273" s="173"/>
      <c r="BN273"/>
      <c r="BO273"/>
      <c r="BP273"/>
      <c r="BQ273"/>
    </row>
    <row r="274" spans="2:69" ht="25" customHeight="1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 s="173"/>
      <c r="AQ274"/>
      <c r="AR274"/>
      <c r="AS274"/>
      <c r="AT274"/>
      <c r="AU274"/>
      <c r="AV274"/>
      <c r="AW274"/>
      <c r="AX274"/>
      <c r="AY274"/>
      <c r="AZ274"/>
      <c r="BA274"/>
      <c r="BB274" s="173"/>
      <c r="BC274" s="173"/>
      <c r="BD274" s="173"/>
      <c r="BE274" s="173"/>
      <c r="BF274" s="173"/>
      <c r="BG274" s="173"/>
      <c r="BH274" s="173"/>
      <c r="BI274" s="173"/>
      <c r="BJ274" s="173"/>
      <c r="BK274" s="173"/>
      <c r="BL274" s="173"/>
      <c r="BM274" s="173"/>
      <c r="BN274"/>
      <c r="BO274"/>
      <c r="BP274"/>
      <c r="BQ274"/>
    </row>
    <row r="275" spans="2:69" ht="25" customHeight="1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 s="173"/>
      <c r="AQ275"/>
      <c r="AR275"/>
      <c r="AS275"/>
      <c r="AT275"/>
      <c r="AU275"/>
      <c r="AV275"/>
      <c r="AW275"/>
      <c r="AX275"/>
      <c r="AY275"/>
      <c r="AZ275"/>
      <c r="BA275"/>
      <c r="BB275" s="173"/>
      <c r="BC275" s="173"/>
      <c r="BD275" s="173"/>
      <c r="BE275" s="173"/>
      <c r="BF275" s="173"/>
      <c r="BG275" s="173"/>
      <c r="BH275" s="173"/>
      <c r="BI275" s="173"/>
      <c r="BJ275" s="173"/>
      <c r="BK275" s="173"/>
      <c r="BL275" s="173"/>
      <c r="BM275" s="173"/>
      <c r="BN275"/>
      <c r="BO275"/>
      <c r="BP275"/>
      <c r="BQ275"/>
    </row>
    <row r="276" spans="2:69" ht="25" customHeight="1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 s="173"/>
      <c r="AQ276"/>
      <c r="AR276"/>
      <c r="AS276"/>
      <c r="AT276"/>
      <c r="AU276"/>
      <c r="AV276"/>
      <c r="AW276"/>
      <c r="AX276"/>
      <c r="AY276"/>
      <c r="AZ276"/>
      <c r="BA276"/>
      <c r="BB276" s="173"/>
      <c r="BC276" s="173"/>
      <c r="BD276" s="173"/>
      <c r="BE276" s="173"/>
      <c r="BF276" s="173"/>
      <c r="BG276" s="173"/>
      <c r="BH276" s="173"/>
      <c r="BI276" s="173"/>
      <c r="BJ276" s="173"/>
      <c r="BK276" s="173"/>
      <c r="BL276" s="173"/>
      <c r="BM276" s="173"/>
      <c r="BN276"/>
      <c r="BO276"/>
      <c r="BP276"/>
      <c r="BQ276"/>
    </row>
    <row r="277" spans="2:69" ht="25" customHeight="1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 s="173"/>
      <c r="AQ277"/>
      <c r="AR277"/>
      <c r="AS277"/>
      <c r="AT277"/>
      <c r="AU277"/>
      <c r="AV277"/>
      <c r="AW277"/>
      <c r="AX277"/>
      <c r="AY277"/>
      <c r="AZ277"/>
      <c r="BA277"/>
      <c r="BB277" s="173"/>
      <c r="BC277" s="173"/>
      <c r="BD277" s="173"/>
      <c r="BE277" s="173"/>
      <c r="BF277" s="173"/>
      <c r="BG277" s="173"/>
      <c r="BH277" s="173"/>
      <c r="BI277" s="173"/>
      <c r="BJ277" s="173"/>
      <c r="BK277" s="173"/>
      <c r="BL277" s="173"/>
      <c r="BM277" s="173"/>
      <c r="BN277"/>
      <c r="BO277"/>
      <c r="BP277"/>
      <c r="BQ277"/>
    </row>
    <row r="278" spans="2:69" ht="25" customHeight="1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 s="173"/>
      <c r="AQ278"/>
      <c r="AR278"/>
      <c r="AS278"/>
      <c r="AT278"/>
      <c r="AU278"/>
      <c r="AV278"/>
      <c r="AW278"/>
      <c r="AX278"/>
      <c r="AY278"/>
      <c r="AZ278"/>
      <c r="BA278"/>
      <c r="BB278" s="173"/>
      <c r="BC278" s="173"/>
      <c r="BD278" s="173"/>
      <c r="BE278" s="173"/>
      <c r="BF278" s="173"/>
      <c r="BG278" s="173"/>
      <c r="BH278" s="173"/>
      <c r="BI278" s="173"/>
      <c r="BJ278" s="173"/>
      <c r="BK278" s="173"/>
      <c r="BL278" s="173"/>
      <c r="BM278" s="173"/>
      <c r="BN278"/>
      <c r="BO278"/>
      <c r="BP278"/>
      <c r="BQ278"/>
    </row>
    <row r="279" spans="2:69" ht="25" customHeight="1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 s="173"/>
      <c r="AQ279"/>
      <c r="AR279"/>
      <c r="AS279"/>
      <c r="AT279"/>
      <c r="AU279"/>
      <c r="AV279"/>
      <c r="AW279"/>
      <c r="AX279"/>
      <c r="AY279"/>
      <c r="AZ279"/>
      <c r="BA279"/>
      <c r="BB279" s="173"/>
      <c r="BC279" s="173"/>
      <c r="BD279" s="173"/>
      <c r="BE279" s="173"/>
      <c r="BF279" s="173"/>
      <c r="BG279" s="173"/>
      <c r="BH279" s="173"/>
      <c r="BI279" s="173"/>
      <c r="BJ279" s="173"/>
      <c r="BK279" s="173"/>
      <c r="BL279" s="173"/>
      <c r="BM279" s="173"/>
      <c r="BN279"/>
      <c r="BO279"/>
      <c r="BP279"/>
      <c r="BQ279"/>
    </row>
    <row r="280" spans="2:69" ht="25" customHeight="1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 s="173"/>
      <c r="AQ280"/>
      <c r="AR280"/>
      <c r="AS280"/>
      <c r="AT280"/>
      <c r="AU280"/>
      <c r="AV280"/>
      <c r="AW280"/>
      <c r="AX280"/>
      <c r="AY280"/>
      <c r="AZ280"/>
      <c r="BA280"/>
      <c r="BB280" s="173"/>
      <c r="BC280" s="173"/>
      <c r="BD280" s="173"/>
      <c r="BE280" s="173"/>
      <c r="BF280" s="173"/>
      <c r="BG280" s="173"/>
      <c r="BH280" s="173"/>
      <c r="BI280" s="173"/>
      <c r="BJ280" s="173"/>
      <c r="BK280" s="173"/>
      <c r="BL280" s="173"/>
      <c r="BM280" s="173"/>
      <c r="BN280"/>
      <c r="BO280"/>
      <c r="BP280"/>
      <c r="BQ280"/>
    </row>
    <row r="281" spans="2:69" ht="25" customHeight="1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 s="173"/>
      <c r="AQ281"/>
      <c r="AR281"/>
      <c r="AS281"/>
      <c r="AT281"/>
      <c r="AU281"/>
      <c r="AV281"/>
      <c r="AW281"/>
      <c r="AX281"/>
      <c r="AY281"/>
      <c r="AZ281"/>
      <c r="BA281"/>
      <c r="BB281" s="173"/>
      <c r="BC281" s="173"/>
      <c r="BD281" s="173"/>
      <c r="BE281" s="173"/>
      <c r="BF281" s="173"/>
      <c r="BG281" s="173"/>
      <c r="BH281" s="173"/>
      <c r="BI281" s="173"/>
      <c r="BJ281" s="173"/>
      <c r="BK281" s="173"/>
      <c r="BL281" s="173"/>
      <c r="BM281" s="173"/>
      <c r="BN281"/>
      <c r="BO281"/>
      <c r="BP281"/>
      <c r="BQ281"/>
    </row>
    <row r="282" spans="2:69" ht="25" customHeight="1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 s="173"/>
      <c r="AQ282"/>
      <c r="AR282"/>
      <c r="AS282"/>
      <c r="AT282"/>
      <c r="AU282"/>
      <c r="AV282"/>
      <c r="AW282"/>
      <c r="AX282"/>
      <c r="AY282"/>
      <c r="AZ282"/>
      <c r="BA282"/>
      <c r="BB282" s="173"/>
      <c r="BC282" s="173"/>
      <c r="BD282" s="173"/>
      <c r="BE282" s="173"/>
      <c r="BF282" s="173"/>
      <c r="BG282" s="173"/>
      <c r="BH282" s="173"/>
      <c r="BI282" s="173"/>
      <c r="BJ282" s="173"/>
      <c r="BK282" s="173"/>
      <c r="BL282" s="173"/>
      <c r="BM282" s="173"/>
      <c r="BN282"/>
      <c r="BO282"/>
      <c r="BP282"/>
      <c r="BQ282"/>
    </row>
    <row r="283" spans="2:69" ht="25" customHeight="1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 s="173"/>
      <c r="AQ283"/>
      <c r="AR283"/>
      <c r="AS283"/>
      <c r="AT283"/>
      <c r="AU283"/>
      <c r="AV283"/>
      <c r="AW283"/>
      <c r="AX283"/>
      <c r="AY283"/>
      <c r="AZ283"/>
      <c r="BA283"/>
      <c r="BB283" s="173"/>
      <c r="BC283" s="173"/>
      <c r="BD283" s="173"/>
      <c r="BE283" s="173"/>
      <c r="BF283" s="173"/>
      <c r="BG283" s="173"/>
      <c r="BH283" s="173"/>
      <c r="BI283" s="173"/>
      <c r="BJ283" s="173"/>
      <c r="BK283" s="173"/>
      <c r="BL283" s="173"/>
      <c r="BM283" s="173"/>
      <c r="BN283"/>
      <c r="BO283"/>
      <c r="BP283"/>
      <c r="BQ283"/>
    </row>
    <row r="284" spans="2:69" ht="25" customHeight="1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 s="173"/>
      <c r="AQ284"/>
      <c r="AR284"/>
      <c r="AS284"/>
      <c r="AT284"/>
      <c r="AU284"/>
      <c r="AV284"/>
      <c r="AW284"/>
      <c r="AX284"/>
      <c r="AY284"/>
      <c r="AZ284"/>
      <c r="BA284"/>
      <c r="BB284" s="173"/>
      <c r="BC284" s="173"/>
      <c r="BD284" s="173"/>
      <c r="BE284" s="173"/>
      <c r="BF284" s="173"/>
      <c r="BG284" s="173"/>
      <c r="BH284" s="173"/>
      <c r="BI284" s="173"/>
      <c r="BJ284" s="173"/>
      <c r="BK284" s="173"/>
      <c r="BL284" s="173"/>
      <c r="BM284" s="173"/>
      <c r="BN284"/>
      <c r="BO284"/>
      <c r="BP284"/>
      <c r="BQ284"/>
    </row>
    <row r="285" spans="2:69" ht="25" customHeight="1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 s="173"/>
      <c r="AQ285"/>
      <c r="AR285"/>
      <c r="AS285"/>
      <c r="AT285"/>
      <c r="AU285"/>
      <c r="AV285"/>
      <c r="AW285"/>
      <c r="AX285"/>
      <c r="AY285"/>
      <c r="AZ285"/>
      <c r="BA285"/>
      <c r="BB285" s="173"/>
      <c r="BC285" s="173"/>
      <c r="BD285" s="173"/>
      <c r="BE285" s="173"/>
      <c r="BF285" s="173"/>
      <c r="BG285" s="173"/>
      <c r="BH285" s="173"/>
      <c r="BI285" s="173"/>
      <c r="BJ285" s="173"/>
      <c r="BK285" s="173"/>
      <c r="BL285" s="173"/>
      <c r="BM285" s="173"/>
      <c r="BN285"/>
      <c r="BO285"/>
      <c r="BP285"/>
      <c r="BQ285"/>
    </row>
    <row r="286" spans="2:69" ht="25" customHeight="1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 s="173"/>
      <c r="AQ286"/>
      <c r="AR286"/>
      <c r="AS286"/>
      <c r="AT286"/>
      <c r="AU286"/>
      <c r="AV286"/>
      <c r="AW286"/>
      <c r="AX286"/>
      <c r="AY286"/>
      <c r="AZ286"/>
      <c r="BA286"/>
      <c r="BB286" s="173"/>
      <c r="BC286" s="173"/>
      <c r="BD286" s="173"/>
      <c r="BE286" s="173"/>
      <c r="BF286" s="173"/>
      <c r="BG286" s="173"/>
      <c r="BH286" s="173"/>
      <c r="BI286" s="173"/>
      <c r="BJ286" s="173"/>
      <c r="BK286" s="173"/>
      <c r="BL286" s="173"/>
      <c r="BM286" s="173"/>
      <c r="BN286"/>
      <c r="BO286"/>
      <c r="BP286"/>
      <c r="BQ286"/>
    </row>
    <row r="287" spans="2:69" ht="25" customHeight="1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 s="173"/>
      <c r="AQ287"/>
      <c r="AR287"/>
      <c r="AS287"/>
      <c r="AT287"/>
      <c r="AU287"/>
      <c r="AV287"/>
      <c r="AW287"/>
      <c r="AX287"/>
      <c r="AY287"/>
      <c r="AZ287"/>
      <c r="BA287"/>
      <c r="BB287" s="173"/>
      <c r="BC287" s="173"/>
      <c r="BD287" s="173"/>
      <c r="BE287" s="173"/>
      <c r="BF287" s="173"/>
      <c r="BG287" s="173"/>
      <c r="BH287" s="173"/>
      <c r="BI287" s="173"/>
      <c r="BJ287" s="173"/>
      <c r="BK287" s="173"/>
      <c r="BL287" s="173"/>
      <c r="BM287" s="173"/>
      <c r="BN287"/>
      <c r="BO287"/>
      <c r="BP287"/>
      <c r="BQ287"/>
    </row>
    <row r="288" spans="2:69" ht="25" customHeight="1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 s="173"/>
      <c r="AQ288"/>
      <c r="AR288"/>
      <c r="AS288"/>
      <c r="AT288"/>
      <c r="AU288"/>
      <c r="AV288"/>
      <c r="AW288"/>
      <c r="AX288"/>
      <c r="AY288"/>
      <c r="AZ288"/>
      <c r="BA288"/>
      <c r="BB288" s="173"/>
      <c r="BC288" s="173"/>
      <c r="BD288" s="173"/>
      <c r="BE288" s="173"/>
      <c r="BF288" s="173"/>
      <c r="BG288" s="173"/>
      <c r="BH288" s="173"/>
      <c r="BI288" s="173"/>
      <c r="BJ288" s="173"/>
      <c r="BK288" s="173"/>
      <c r="BL288" s="173"/>
      <c r="BM288" s="173"/>
      <c r="BN288"/>
      <c r="BO288"/>
      <c r="BP288"/>
      <c r="BQ288"/>
    </row>
    <row r="289" spans="2:69" ht="25" customHeight="1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 s="173"/>
      <c r="AQ289"/>
      <c r="AR289"/>
      <c r="AS289"/>
      <c r="AT289"/>
      <c r="AU289"/>
      <c r="AV289"/>
      <c r="AW289"/>
      <c r="AX289"/>
      <c r="AY289"/>
      <c r="AZ289"/>
      <c r="BA289"/>
      <c r="BB289" s="173"/>
      <c r="BC289" s="173"/>
      <c r="BD289" s="173"/>
      <c r="BE289" s="173"/>
      <c r="BF289" s="173"/>
      <c r="BG289" s="173"/>
      <c r="BH289" s="173"/>
      <c r="BI289" s="173"/>
      <c r="BJ289" s="173"/>
      <c r="BK289" s="173"/>
      <c r="BL289" s="173"/>
      <c r="BM289" s="173"/>
      <c r="BN289"/>
      <c r="BO289"/>
      <c r="BP289"/>
      <c r="BQ289"/>
    </row>
    <row r="290" spans="2:69" ht="25" customHeight="1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 s="173"/>
      <c r="AQ290"/>
      <c r="AR290"/>
      <c r="AS290"/>
      <c r="AT290"/>
      <c r="AU290"/>
      <c r="AV290"/>
      <c r="AW290"/>
      <c r="AX290"/>
      <c r="AY290"/>
      <c r="AZ290"/>
      <c r="BA290"/>
      <c r="BB290" s="173"/>
      <c r="BC290" s="173"/>
      <c r="BD290" s="173"/>
      <c r="BE290" s="173"/>
      <c r="BF290" s="173"/>
      <c r="BG290" s="173"/>
      <c r="BH290" s="173"/>
      <c r="BI290" s="173"/>
      <c r="BJ290" s="173"/>
      <c r="BK290" s="173"/>
      <c r="BL290" s="173"/>
      <c r="BM290" s="173"/>
      <c r="BN290"/>
      <c r="BO290"/>
      <c r="BP290"/>
      <c r="BQ290"/>
    </row>
    <row r="291" spans="2:69" ht="25" customHeight="1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 s="173"/>
      <c r="AQ291"/>
      <c r="AR291"/>
      <c r="AS291"/>
      <c r="AT291"/>
      <c r="AU291"/>
      <c r="AV291"/>
      <c r="AW291"/>
      <c r="AX291"/>
      <c r="AY291"/>
      <c r="AZ291"/>
      <c r="BA291"/>
      <c r="BB291" s="173"/>
      <c r="BC291" s="173"/>
      <c r="BD291" s="173"/>
      <c r="BE291" s="173"/>
      <c r="BF291" s="173"/>
      <c r="BG291" s="173"/>
      <c r="BH291" s="173"/>
      <c r="BI291" s="173"/>
      <c r="BJ291" s="173"/>
      <c r="BK291" s="173"/>
      <c r="BL291" s="173"/>
      <c r="BM291" s="173"/>
      <c r="BN291"/>
      <c r="BO291"/>
      <c r="BP291"/>
      <c r="BQ291"/>
    </row>
    <row r="292" spans="2:69" ht="25" customHeight="1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 s="173"/>
      <c r="AQ292"/>
      <c r="AR292"/>
      <c r="AS292"/>
      <c r="AT292"/>
      <c r="AU292"/>
      <c r="AV292"/>
      <c r="AW292"/>
      <c r="AX292"/>
      <c r="AY292"/>
      <c r="AZ292"/>
      <c r="BA292"/>
      <c r="BB292" s="173"/>
      <c r="BC292" s="173"/>
      <c r="BD292" s="173"/>
      <c r="BE292" s="173"/>
      <c r="BF292" s="173"/>
      <c r="BG292" s="173"/>
      <c r="BH292" s="173"/>
      <c r="BI292" s="173"/>
      <c r="BJ292" s="173"/>
      <c r="BK292" s="173"/>
      <c r="BL292" s="173"/>
      <c r="BM292" s="173"/>
      <c r="BN292"/>
      <c r="BO292"/>
      <c r="BP292"/>
      <c r="BQ292"/>
    </row>
    <row r="293" spans="2:69" ht="25" customHeight="1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 s="173"/>
      <c r="AQ293"/>
      <c r="AR293"/>
      <c r="AS293"/>
      <c r="AT293"/>
      <c r="AU293"/>
      <c r="AV293"/>
      <c r="AW293"/>
      <c r="AX293"/>
      <c r="AY293"/>
      <c r="AZ293"/>
      <c r="BA293"/>
      <c r="BB293" s="173"/>
      <c r="BC293" s="173"/>
      <c r="BD293" s="173"/>
      <c r="BE293" s="173"/>
      <c r="BF293" s="173"/>
      <c r="BG293" s="173"/>
      <c r="BH293" s="173"/>
      <c r="BI293" s="173"/>
      <c r="BJ293" s="173"/>
      <c r="BK293" s="173"/>
      <c r="BL293" s="173"/>
      <c r="BM293" s="173"/>
      <c r="BN293"/>
      <c r="BO293"/>
      <c r="BP293"/>
      <c r="BQ293"/>
    </row>
    <row r="294" spans="2:69" ht="25" customHeight="1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 s="173"/>
      <c r="AQ294"/>
      <c r="AR294"/>
      <c r="AS294"/>
      <c r="AT294"/>
      <c r="AU294"/>
      <c r="AV294"/>
      <c r="AW294"/>
      <c r="AX294"/>
      <c r="AY294"/>
      <c r="AZ294"/>
      <c r="BA294"/>
      <c r="BB294" s="173"/>
      <c r="BC294" s="173"/>
      <c r="BD294" s="173"/>
      <c r="BE294" s="173"/>
      <c r="BF294" s="173"/>
      <c r="BG294" s="173"/>
      <c r="BH294" s="173"/>
      <c r="BI294" s="173"/>
      <c r="BJ294" s="173"/>
      <c r="BK294" s="173"/>
      <c r="BL294" s="173"/>
      <c r="BM294" s="173"/>
      <c r="BN294"/>
      <c r="BO294"/>
      <c r="BP294"/>
      <c r="BQ294"/>
    </row>
    <row r="295" spans="2:69" ht="25" customHeight="1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 s="173"/>
      <c r="AQ295"/>
      <c r="AR295"/>
      <c r="AS295"/>
      <c r="AT295"/>
      <c r="AU295"/>
      <c r="AV295"/>
      <c r="AW295"/>
      <c r="AX295"/>
      <c r="AY295"/>
      <c r="AZ295"/>
      <c r="BA295"/>
      <c r="BB295" s="173"/>
      <c r="BC295" s="173"/>
      <c r="BD295" s="173"/>
      <c r="BE295" s="173"/>
      <c r="BF295" s="173"/>
      <c r="BG295" s="173"/>
      <c r="BH295" s="173"/>
      <c r="BI295" s="173"/>
      <c r="BJ295" s="173"/>
      <c r="BK295" s="173"/>
      <c r="BL295" s="173"/>
      <c r="BM295" s="173"/>
      <c r="BN295"/>
      <c r="BO295"/>
      <c r="BP295"/>
      <c r="BQ295"/>
    </row>
    <row r="296" spans="2:69" ht="25" customHeight="1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 s="173"/>
      <c r="AQ296"/>
      <c r="AR296"/>
      <c r="AS296"/>
      <c r="AT296"/>
      <c r="AU296"/>
      <c r="AV296"/>
      <c r="AW296"/>
      <c r="AX296"/>
      <c r="AY296"/>
      <c r="AZ296"/>
      <c r="BA296"/>
      <c r="BB296" s="173"/>
      <c r="BC296" s="173"/>
      <c r="BD296" s="173"/>
      <c r="BE296" s="173"/>
      <c r="BF296" s="173"/>
      <c r="BG296" s="173"/>
      <c r="BH296" s="173"/>
      <c r="BI296" s="173"/>
      <c r="BJ296" s="173"/>
      <c r="BK296" s="173"/>
      <c r="BL296" s="173"/>
      <c r="BM296" s="173"/>
      <c r="BN296"/>
      <c r="BO296"/>
      <c r="BP296"/>
      <c r="BQ296"/>
    </row>
    <row r="297" spans="2:69" ht="25" customHeight="1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 s="173"/>
      <c r="AQ297"/>
      <c r="AR297"/>
      <c r="AS297"/>
      <c r="AT297"/>
      <c r="AU297"/>
      <c r="AV297"/>
      <c r="AW297"/>
      <c r="AX297"/>
      <c r="AY297"/>
      <c r="AZ297"/>
      <c r="BA297"/>
      <c r="BB297" s="173"/>
      <c r="BC297" s="173"/>
      <c r="BD297" s="173"/>
      <c r="BE297" s="173"/>
      <c r="BF297" s="173"/>
      <c r="BG297" s="173"/>
      <c r="BH297" s="173"/>
      <c r="BI297" s="173"/>
      <c r="BJ297" s="173"/>
      <c r="BK297" s="173"/>
      <c r="BL297" s="173"/>
      <c r="BM297" s="173"/>
      <c r="BN297"/>
      <c r="BO297"/>
      <c r="BP297"/>
      <c r="BQ297"/>
    </row>
    <row r="298" spans="2:69" ht="25" customHeight="1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 s="173"/>
      <c r="AQ298"/>
      <c r="AR298"/>
      <c r="AS298"/>
      <c r="AT298"/>
      <c r="AU298"/>
      <c r="AV298"/>
      <c r="AW298"/>
      <c r="AX298"/>
      <c r="AY298"/>
      <c r="AZ298"/>
      <c r="BA298"/>
      <c r="BB298" s="173"/>
      <c r="BC298" s="173"/>
      <c r="BD298" s="173"/>
      <c r="BE298" s="173"/>
      <c r="BF298" s="173"/>
      <c r="BG298" s="173"/>
      <c r="BH298" s="173"/>
      <c r="BI298" s="173"/>
      <c r="BJ298" s="173"/>
      <c r="BK298" s="173"/>
      <c r="BL298" s="173"/>
      <c r="BM298" s="173"/>
      <c r="BN298"/>
      <c r="BO298"/>
      <c r="BP298"/>
      <c r="BQ298"/>
    </row>
    <row r="299" spans="2:69" ht="25" customHeight="1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 s="173"/>
      <c r="AQ299"/>
      <c r="AR299"/>
      <c r="AS299"/>
      <c r="AT299"/>
      <c r="AU299"/>
      <c r="AV299"/>
      <c r="AW299"/>
      <c r="AX299"/>
      <c r="AY299"/>
      <c r="AZ299"/>
      <c r="BA299"/>
      <c r="BB299" s="173"/>
      <c r="BC299" s="173"/>
      <c r="BD299" s="173"/>
      <c r="BE299" s="173"/>
      <c r="BF299" s="173"/>
      <c r="BG299" s="173"/>
      <c r="BH299" s="173"/>
      <c r="BI299" s="173"/>
      <c r="BJ299" s="173"/>
      <c r="BK299" s="173"/>
      <c r="BL299" s="173"/>
      <c r="BM299" s="173"/>
      <c r="BN299"/>
      <c r="BO299"/>
      <c r="BP299"/>
      <c r="BQ299"/>
    </row>
    <row r="300" spans="2:69" ht="25" customHeight="1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 s="173"/>
      <c r="AQ300"/>
      <c r="AR300"/>
      <c r="AS300"/>
      <c r="AT300"/>
      <c r="AU300"/>
      <c r="AV300"/>
      <c r="AW300"/>
      <c r="AX300"/>
      <c r="AY300"/>
      <c r="AZ300"/>
      <c r="BA300"/>
      <c r="BB300" s="173"/>
      <c r="BC300" s="173"/>
      <c r="BD300" s="173"/>
      <c r="BE300" s="173"/>
      <c r="BF300" s="173"/>
      <c r="BG300" s="173"/>
      <c r="BH300" s="173"/>
      <c r="BI300" s="173"/>
      <c r="BJ300" s="173"/>
      <c r="BK300" s="173"/>
      <c r="BL300" s="173"/>
      <c r="BM300" s="173"/>
      <c r="BN300"/>
      <c r="BO300"/>
      <c r="BP300"/>
      <c r="BQ300"/>
    </row>
    <row r="301" spans="2:69" ht="25" customHeight="1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 s="173"/>
      <c r="AQ301"/>
      <c r="AR301"/>
      <c r="AS301"/>
      <c r="AT301"/>
      <c r="AU301"/>
      <c r="AV301"/>
      <c r="AW301"/>
      <c r="AX301"/>
      <c r="AY301"/>
      <c r="AZ301"/>
      <c r="BA301"/>
      <c r="BB301" s="173"/>
      <c r="BC301" s="173"/>
      <c r="BD301" s="173"/>
      <c r="BE301" s="173"/>
      <c r="BF301" s="173"/>
      <c r="BG301" s="173"/>
      <c r="BH301" s="173"/>
      <c r="BI301" s="173"/>
      <c r="BJ301" s="173"/>
      <c r="BK301" s="173"/>
      <c r="BL301" s="173"/>
      <c r="BM301" s="173"/>
      <c r="BN301"/>
      <c r="BO301"/>
      <c r="BP301"/>
      <c r="BQ301"/>
    </row>
    <row r="302" spans="2:69" ht="25" customHeight="1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 s="173"/>
      <c r="AQ302"/>
      <c r="AR302"/>
      <c r="AS302"/>
      <c r="AT302"/>
      <c r="AU302"/>
      <c r="AV302"/>
      <c r="AW302"/>
      <c r="AX302"/>
      <c r="AY302"/>
      <c r="AZ302"/>
      <c r="BA302"/>
      <c r="BB302" s="173"/>
      <c r="BC302" s="173"/>
      <c r="BD302" s="173"/>
      <c r="BE302" s="173"/>
      <c r="BF302" s="173"/>
      <c r="BG302" s="173"/>
      <c r="BH302" s="173"/>
      <c r="BI302" s="173"/>
      <c r="BJ302" s="173"/>
      <c r="BK302" s="173"/>
      <c r="BL302" s="173"/>
      <c r="BM302" s="173"/>
      <c r="BN302"/>
      <c r="BO302"/>
      <c r="BP302"/>
      <c r="BQ302"/>
    </row>
    <row r="303" spans="2:69" ht="25" customHeight="1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 s="173"/>
      <c r="AQ303"/>
      <c r="AR303"/>
      <c r="AS303"/>
      <c r="AT303"/>
      <c r="AU303"/>
      <c r="AV303"/>
      <c r="AW303"/>
      <c r="AX303"/>
      <c r="AY303"/>
      <c r="AZ303"/>
      <c r="BA303"/>
      <c r="BB303" s="173"/>
      <c r="BC303" s="173"/>
      <c r="BD303" s="173"/>
      <c r="BE303" s="173"/>
      <c r="BF303" s="173"/>
      <c r="BG303" s="173"/>
      <c r="BH303" s="173"/>
      <c r="BI303" s="173"/>
      <c r="BJ303" s="173"/>
      <c r="BK303" s="173"/>
      <c r="BL303" s="173"/>
      <c r="BM303" s="173"/>
      <c r="BN303"/>
      <c r="BO303"/>
      <c r="BP303"/>
      <c r="BQ303"/>
    </row>
    <row r="304" spans="2:69" ht="25" customHeight="1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 s="173"/>
      <c r="AQ304"/>
      <c r="AR304"/>
      <c r="AS304"/>
      <c r="AT304"/>
      <c r="AU304"/>
      <c r="AV304"/>
      <c r="AW304"/>
      <c r="AX304"/>
      <c r="AY304"/>
      <c r="AZ304"/>
      <c r="BA304"/>
      <c r="BB304" s="173"/>
      <c r="BC304" s="173"/>
      <c r="BD304" s="173"/>
      <c r="BE304" s="173"/>
      <c r="BF304" s="173"/>
      <c r="BG304" s="173"/>
      <c r="BH304" s="173"/>
      <c r="BI304" s="173"/>
      <c r="BJ304" s="173"/>
      <c r="BK304" s="173"/>
      <c r="BL304" s="173"/>
      <c r="BM304" s="173"/>
      <c r="BN304"/>
      <c r="BO304"/>
      <c r="BP304"/>
      <c r="BQ304"/>
    </row>
    <row r="305" spans="2:69" ht="25" customHeight="1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 s="173"/>
      <c r="AQ305"/>
      <c r="AR305"/>
      <c r="AS305"/>
      <c r="AT305"/>
      <c r="AU305"/>
      <c r="AV305"/>
      <c r="AW305"/>
      <c r="AX305"/>
      <c r="AY305"/>
      <c r="AZ305"/>
      <c r="BA305"/>
      <c r="BB305" s="173"/>
      <c r="BC305" s="173"/>
      <c r="BD305" s="173"/>
      <c r="BE305" s="173"/>
      <c r="BF305" s="173"/>
      <c r="BG305" s="173"/>
      <c r="BH305" s="173"/>
      <c r="BI305" s="173"/>
      <c r="BJ305" s="173"/>
      <c r="BK305" s="173"/>
      <c r="BL305" s="173"/>
      <c r="BM305" s="173"/>
      <c r="BN305"/>
      <c r="BO305"/>
      <c r="BP305"/>
      <c r="BQ305"/>
    </row>
    <row r="306" spans="2:69" ht="25" customHeight="1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 s="173"/>
      <c r="AQ306"/>
      <c r="AR306"/>
      <c r="AS306"/>
      <c r="AT306"/>
      <c r="AU306"/>
      <c r="AV306"/>
      <c r="AW306"/>
      <c r="AX306"/>
      <c r="AY306"/>
      <c r="AZ306"/>
      <c r="BA306"/>
      <c r="BB306" s="173"/>
      <c r="BC306" s="173"/>
      <c r="BD306" s="173"/>
      <c r="BE306" s="173"/>
      <c r="BF306" s="173"/>
      <c r="BG306" s="173"/>
      <c r="BH306" s="173"/>
      <c r="BI306" s="173"/>
      <c r="BJ306" s="173"/>
      <c r="BK306" s="173"/>
      <c r="BL306" s="173"/>
      <c r="BM306" s="173"/>
      <c r="BN306"/>
      <c r="BO306"/>
      <c r="BP306"/>
      <c r="BQ306"/>
    </row>
    <row r="307" spans="2:69" ht="25" customHeight="1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 s="173"/>
      <c r="AQ307"/>
      <c r="AR307"/>
      <c r="AS307"/>
      <c r="AT307"/>
      <c r="AU307"/>
      <c r="AV307"/>
      <c r="AW307"/>
      <c r="AX307"/>
      <c r="AY307"/>
      <c r="AZ307"/>
      <c r="BA307"/>
      <c r="BB307" s="173"/>
      <c r="BC307" s="173"/>
      <c r="BD307" s="173"/>
      <c r="BE307" s="173"/>
      <c r="BF307" s="173"/>
      <c r="BG307" s="173"/>
      <c r="BH307" s="173"/>
      <c r="BI307" s="173"/>
      <c r="BJ307" s="173"/>
      <c r="BK307" s="173"/>
      <c r="BL307" s="173"/>
      <c r="BM307" s="173"/>
      <c r="BN307"/>
      <c r="BO307"/>
      <c r="BP307"/>
      <c r="BQ307"/>
    </row>
    <row r="308" spans="2:69" ht="25" customHeight="1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 s="173"/>
      <c r="AQ308"/>
      <c r="AR308"/>
      <c r="AS308"/>
      <c r="AT308"/>
      <c r="AU308"/>
      <c r="AV308"/>
      <c r="AW308"/>
      <c r="AX308"/>
      <c r="AY308"/>
      <c r="AZ308"/>
      <c r="BA308"/>
      <c r="BB308" s="173"/>
      <c r="BC308" s="173"/>
      <c r="BD308" s="173"/>
      <c r="BE308" s="173"/>
      <c r="BF308" s="173"/>
      <c r="BG308" s="173"/>
      <c r="BH308" s="173"/>
      <c r="BI308" s="173"/>
      <c r="BJ308" s="173"/>
      <c r="BK308" s="173"/>
      <c r="BL308" s="173"/>
      <c r="BM308" s="173"/>
      <c r="BN308"/>
      <c r="BO308"/>
      <c r="BP308"/>
      <c r="BQ308"/>
    </row>
    <row r="309" spans="2:69" ht="25" customHeight="1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 s="173"/>
      <c r="AQ309"/>
      <c r="AR309"/>
      <c r="AS309"/>
      <c r="AT309"/>
      <c r="AU309"/>
      <c r="AV309"/>
      <c r="AW309"/>
      <c r="AX309"/>
      <c r="AY309"/>
      <c r="AZ309"/>
      <c r="BA309"/>
      <c r="BB309" s="173"/>
      <c r="BC309" s="173"/>
      <c r="BD309" s="173"/>
      <c r="BE309" s="173"/>
      <c r="BF309" s="173"/>
      <c r="BG309" s="173"/>
      <c r="BH309" s="173"/>
      <c r="BI309" s="173"/>
      <c r="BJ309" s="173"/>
      <c r="BK309" s="173"/>
      <c r="BL309" s="173"/>
      <c r="BM309" s="173"/>
      <c r="BN309"/>
      <c r="BO309"/>
      <c r="BP309"/>
      <c r="BQ309"/>
    </row>
    <row r="310" spans="2:69" ht="25" customHeight="1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 s="173"/>
      <c r="AQ310"/>
      <c r="AR310"/>
      <c r="AS310"/>
      <c r="AT310"/>
      <c r="AU310"/>
      <c r="AV310"/>
      <c r="AW310"/>
      <c r="AX310"/>
      <c r="AY310"/>
      <c r="AZ310"/>
      <c r="BA310"/>
      <c r="BB310" s="173"/>
      <c r="BC310" s="173"/>
      <c r="BD310" s="173"/>
      <c r="BE310" s="173"/>
      <c r="BF310" s="173"/>
      <c r="BG310" s="173"/>
      <c r="BH310" s="173"/>
      <c r="BI310" s="173"/>
      <c r="BJ310" s="173"/>
      <c r="BK310" s="173"/>
      <c r="BL310" s="173"/>
      <c r="BM310" s="173"/>
      <c r="BN310"/>
      <c r="BO310"/>
      <c r="BP310"/>
      <c r="BQ310"/>
    </row>
    <row r="311" spans="2:69" ht="25" customHeight="1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 s="173"/>
      <c r="AQ311"/>
      <c r="AR311"/>
      <c r="AS311"/>
      <c r="AT311"/>
      <c r="AU311"/>
      <c r="AV311"/>
      <c r="AW311"/>
      <c r="AX311"/>
      <c r="AY311"/>
      <c r="AZ311"/>
      <c r="BA311"/>
      <c r="BB311" s="173"/>
      <c r="BC311" s="173"/>
      <c r="BD311" s="173"/>
      <c r="BE311" s="173"/>
      <c r="BF311" s="173"/>
      <c r="BG311" s="173"/>
      <c r="BH311" s="173"/>
      <c r="BI311" s="173"/>
      <c r="BJ311" s="173"/>
      <c r="BK311" s="173"/>
      <c r="BL311" s="173"/>
      <c r="BM311" s="173"/>
      <c r="BN311"/>
      <c r="BO311"/>
      <c r="BP311"/>
      <c r="BQ311"/>
    </row>
    <row r="312" spans="2:69" ht="25" customHeight="1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 s="173"/>
      <c r="AQ312"/>
      <c r="AR312"/>
      <c r="AS312"/>
      <c r="AT312"/>
      <c r="AU312"/>
      <c r="AV312"/>
      <c r="AW312"/>
      <c r="AX312"/>
      <c r="AY312"/>
      <c r="AZ312"/>
      <c r="BA312"/>
      <c r="BB312" s="173"/>
      <c r="BC312" s="173"/>
      <c r="BD312" s="173"/>
      <c r="BE312" s="173"/>
      <c r="BF312" s="173"/>
      <c r="BG312" s="173"/>
      <c r="BH312" s="173"/>
      <c r="BI312" s="173"/>
      <c r="BJ312" s="173"/>
      <c r="BK312" s="173"/>
      <c r="BL312" s="173"/>
      <c r="BM312" s="173"/>
      <c r="BN312"/>
      <c r="BO312"/>
      <c r="BP312"/>
      <c r="BQ312"/>
    </row>
    <row r="313" spans="2:69" ht="25" customHeight="1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 s="173"/>
      <c r="AQ313"/>
      <c r="AR313"/>
      <c r="AS313"/>
      <c r="AT313"/>
      <c r="AU313"/>
      <c r="AV313"/>
      <c r="AW313"/>
      <c r="AX313"/>
      <c r="AY313"/>
      <c r="AZ313"/>
      <c r="BA313"/>
      <c r="BB313" s="173"/>
      <c r="BC313" s="173"/>
      <c r="BD313" s="173"/>
      <c r="BE313" s="173"/>
      <c r="BF313" s="173"/>
      <c r="BG313" s="173"/>
      <c r="BH313" s="173"/>
      <c r="BI313" s="173"/>
      <c r="BJ313" s="173"/>
      <c r="BK313" s="173"/>
      <c r="BL313" s="173"/>
      <c r="BM313" s="173"/>
      <c r="BN313"/>
      <c r="BO313"/>
      <c r="BP313"/>
      <c r="BQ313"/>
    </row>
    <row r="314" spans="2:69" ht="25" customHeight="1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 s="173"/>
      <c r="AQ314"/>
      <c r="AR314"/>
      <c r="AS314"/>
      <c r="AT314"/>
      <c r="AU314"/>
      <c r="AV314"/>
      <c r="AW314"/>
      <c r="AX314"/>
      <c r="AY314"/>
      <c r="AZ314"/>
      <c r="BA314"/>
      <c r="BB314" s="173"/>
      <c r="BC314" s="173"/>
      <c r="BD314" s="173"/>
      <c r="BE314" s="173"/>
      <c r="BF314" s="173"/>
      <c r="BG314" s="173"/>
      <c r="BH314" s="173"/>
      <c r="BI314" s="173"/>
      <c r="BJ314" s="173"/>
      <c r="BK314" s="173"/>
      <c r="BL314" s="173"/>
      <c r="BM314" s="173"/>
      <c r="BN314"/>
      <c r="BO314"/>
      <c r="BP314"/>
      <c r="BQ314"/>
    </row>
    <row r="315" spans="2:69" ht="25" customHeight="1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 s="173"/>
      <c r="AQ315"/>
      <c r="AR315"/>
      <c r="AS315"/>
      <c r="AT315"/>
      <c r="AU315"/>
      <c r="AV315"/>
      <c r="AW315"/>
      <c r="AX315"/>
      <c r="AY315"/>
      <c r="AZ315"/>
      <c r="BA315"/>
      <c r="BB315" s="173"/>
      <c r="BC315" s="173"/>
      <c r="BD315" s="173"/>
      <c r="BE315" s="173"/>
      <c r="BF315" s="173"/>
      <c r="BG315" s="173"/>
      <c r="BH315" s="173"/>
      <c r="BI315" s="173"/>
      <c r="BJ315" s="173"/>
      <c r="BK315" s="173"/>
      <c r="BL315" s="173"/>
      <c r="BM315" s="173"/>
      <c r="BN315"/>
      <c r="BO315"/>
      <c r="BP315"/>
      <c r="BQ315"/>
    </row>
    <row r="316" spans="2:69" ht="25" customHeight="1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 s="173"/>
      <c r="AQ316"/>
      <c r="AR316"/>
      <c r="AS316"/>
      <c r="AT316"/>
      <c r="AU316"/>
      <c r="AV316"/>
      <c r="AW316"/>
      <c r="AX316"/>
      <c r="AY316"/>
      <c r="AZ316"/>
      <c r="BA316"/>
      <c r="BB316" s="173"/>
      <c r="BC316" s="173"/>
      <c r="BD316" s="173"/>
      <c r="BE316" s="173"/>
      <c r="BF316" s="173"/>
      <c r="BG316" s="173"/>
      <c r="BH316" s="173"/>
      <c r="BI316" s="173"/>
      <c r="BJ316" s="173"/>
      <c r="BK316" s="173"/>
      <c r="BL316" s="173"/>
      <c r="BM316" s="173"/>
      <c r="BN316"/>
      <c r="BO316"/>
      <c r="BP316"/>
      <c r="BQ316"/>
    </row>
    <row r="317" spans="2:69" ht="25" customHeight="1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 s="173"/>
      <c r="AQ317"/>
      <c r="AR317"/>
      <c r="AS317"/>
      <c r="AT317"/>
      <c r="AU317"/>
      <c r="AV317"/>
      <c r="AW317"/>
      <c r="AX317"/>
      <c r="AY317"/>
      <c r="AZ317"/>
      <c r="BA317"/>
      <c r="BB317" s="173"/>
      <c r="BC317" s="173"/>
      <c r="BD317" s="173"/>
      <c r="BE317" s="173"/>
      <c r="BF317" s="173"/>
      <c r="BG317" s="173"/>
      <c r="BH317" s="173"/>
      <c r="BI317" s="173"/>
      <c r="BJ317" s="173"/>
      <c r="BK317" s="173"/>
      <c r="BL317" s="173"/>
      <c r="BM317" s="173"/>
      <c r="BN317"/>
      <c r="BO317"/>
      <c r="BP317"/>
      <c r="BQ317"/>
    </row>
    <row r="318" spans="2:69" ht="25" customHeight="1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 s="173"/>
      <c r="AQ318"/>
      <c r="AR318"/>
      <c r="AS318"/>
      <c r="AT318"/>
      <c r="AU318"/>
      <c r="AV318"/>
      <c r="AW318"/>
      <c r="AX318"/>
      <c r="AY318"/>
      <c r="AZ318"/>
      <c r="BA318"/>
      <c r="BB318" s="173"/>
      <c r="BC318" s="173"/>
      <c r="BD318" s="173"/>
      <c r="BE318" s="173"/>
      <c r="BF318" s="173"/>
      <c r="BG318" s="173"/>
      <c r="BH318" s="173"/>
      <c r="BI318" s="173"/>
      <c r="BJ318" s="173"/>
      <c r="BK318" s="173"/>
      <c r="BL318" s="173"/>
      <c r="BM318" s="173"/>
      <c r="BN318"/>
      <c r="BO318"/>
      <c r="BP318"/>
      <c r="BQ318"/>
    </row>
    <row r="319" spans="2:69" ht="25" customHeight="1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 s="173"/>
      <c r="AQ319"/>
      <c r="AR319"/>
      <c r="AS319"/>
      <c r="AT319"/>
      <c r="AU319"/>
      <c r="AV319"/>
      <c r="AW319"/>
      <c r="AX319"/>
      <c r="AY319"/>
      <c r="AZ319"/>
      <c r="BA319"/>
      <c r="BB319" s="173"/>
      <c r="BC319" s="173"/>
      <c r="BD319" s="173"/>
      <c r="BE319" s="173"/>
      <c r="BF319" s="173"/>
      <c r="BG319" s="173"/>
      <c r="BH319" s="173"/>
      <c r="BI319" s="173"/>
      <c r="BJ319" s="173"/>
      <c r="BK319" s="173"/>
      <c r="BL319" s="173"/>
      <c r="BM319" s="173"/>
      <c r="BN319"/>
      <c r="BO319"/>
      <c r="BP319"/>
      <c r="BQ319"/>
    </row>
    <row r="320" spans="2:69" ht="25" customHeight="1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 s="173"/>
      <c r="AQ320"/>
      <c r="AR320"/>
      <c r="AS320"/>
      <c r="AT320"/>
      <c r="AU320"/>
      <c r="AV320"/>
      <c r="AW320"/>
      <c r="AX320"/>
      <c r="AY320"/>
      <c r="AZ320"/>
      <c r="BA320"/>
      <c r="BB320" s="173"/>
      <c r="BC320" s="173"/>
      <c r="BD320" s="173"/>
      <c r="BE320" s="173"/>
      <c r="BF320" s="173"/>
      <c r="BG320" s="173"/>
      <c r="BH320" s="173"/>
      <c r="BI320" s="173"/>
      <c r="BJ320" s="173"/>
      <c r="BK320" s="173"/>
      <c r="BL320" s="173"/>
      <c r="BM320" s="173"/>
      <c r="BN320"/>
      <c r="BO320"/>
      <c r="BP320"/>
      <c r="BQ320"/>
    </row>
    <row r="321" spans="2:69" ht="25" customHeight="1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 s="173"/>
      <c r="AQ321"/>
      <c r="AR321"/>
      <c r="AS321"/>
      <c r="AT321"/>
      <c r="AU321"/>
      <c r="AV321"/>
      <c r="AW321"/>
      <c r="AX321"/>
      <c r="AY321"/>
      <c r="AZ321"/>
      <c r="BA321"/>
      <c r="BB321" s="173"/>
      <c r="BC321" s="173"/>
      <c r="BD321" s="173"/>
      <c r="BE321" s="173"/>
      <c r="BF321" s="173"/>
      <c r="BG321" s="173"/>
      <c r="BH321" s="173"/>
      <c r="BI321" s="173"/>
      <c r="BJ321" s="173"/>
      <c r="BK321" s="173"/>
      <c r="BL321" s="173"/>
      <c r="BM321" s="173"/>
      <c r="BN321"/>
      <c r="BO321"/>
      <c r="BP321"/>
      <c r="BQ321"/>
    </row>
    <row r="322" spans="2:69" ht="25" customHeight="1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 s="173"/>
      <c r="AQ322"/>
      <c r="AR322"/>
      <c r="AS322"/>
      <c r="AT322"/>
      <c r="AU322"/>
      <c r="AV322"/>
      <c r="AW322"/>
      <c r="AX322"/>
      <c r="AY322"/>
      <c r="AZ322"/>
      <c r="BA322"/>
      <c r="BB322" s="173"/>
      <c r="BC322" s="173"/>
      <c r="BD322" s="173"/>
      <c r="BE322" s="173"/>
      <c r="BF322" s="173"/>
      <c r="BG322" s="173"/>
      <c r="BH322" s="173"/>
      <c r="BI322" s="173"/>
      <c r="BJ322" s="173"/>
      <c r="BK322" s="173"/>
      <c r="BL322" s="173"/>
      <c r="BM322" s="173"/>
      <c r="BN322"/>
      <c r="BO322"/>
      <c r="BP322"/>
      <c r="BQ322"/>
    </row>
    <row r="323" spans="2:69" ht="25" customHeight="1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 s="173"/>
      <c r="AQ323"/>
      <c r="AR323"/>
      <c r="AS323"/>
      <c r="AT323"/>
      <c r="AU323"/>
      <c r="AV323"/>
      <c r="AW323"/>
      <c r="AX323"/>
      <c r="AY323"/>
      <c r="AZ323"/>
      <c r="BA323"/>
      <c r="BB323" s="173"/>
      <c r="BC323" s="173"/>
      <c r="BD323" s="173"/>
      <c r="BE323" s="173"/>
      <c r="BF323" s="173"/>
      <c r="BG323" s="173"/>
      <c r="BH323" s="173"/>
      <c r="BI323" s="173"/>
      <c r="BJ323" s="173"/>
      <c r="BK323" s="173"/>
      <c r="BL323" s="173"/>
      <c r="BM323" s="173"/>
      <c r="BN323"/>
      <c r="BO323"/>
      <c r="BP323"/>
      <c r="BQ323"/>
    </row>
    <row r="324" spans="2:69" ht="25" customHeight="1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 s="173"/>
      <c r="AQ324"/>
      <c r="AR324"/>
      <c r="AS324"/>
      <c r="AT324"/>
      <c r="AU324"/>
      <c r="AV324"/>
      <c r="AW324"/>
      <c r="AX324"/>
      <c r="AY324"/>
      <c r="AZ324"/>
      <c r="BA324"/>
      <c r="BB324" s="173"/>
      <c r="BC324" s="173"/>
      <c r="BD324" s="173"/>
      <c r="BE324" s="173"/>
      <c r="BF324" s="173"/>
      <c r="BG324" s="173"/>
      <c r="BH324" s="173"/>
      <c r="BI324" s="173"/>
      <c r="BJ324" s="173"/>
      <c r="BK324" s="173"/>
      <c r="BL324" s="173"/>
      <c r="BM324" s="173"/>
      <c r="BN324"/>
      <c r="BO324"/>
      <c r="BP324"/>
      <c r="BQ324"/>
    </row>
    <row r="325" spans="2:69" ht="25" customHeight="1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 s="173"/>
      <c r="AQ325"/>
      <c r="AR325"/>
      <c r="AS325"/>
      <c r="AT325"/>
      <c r="AU325"/>
      <c r="AV325"/>
      <c r="AW325"/>
      <c r="AX325"/>
      <c r="AY325"/>
      <c r="AZ325"/>
      <c r="BA325"/>
      <c r="BB325" s="173"/>
      <c r="BC325" s="173"/>
      <c r="BD325" s="173"/>
      <c r="BE325" s="173"/>
      <c r="BF325" s="173"/>
      <c r="BG325" s="173"/>
      <c r="BH325" s="173"/>
      <c r="BI325" s="173"/>
      <c r="BJ325" s="173"/>
      <c r="BK325" s="173"/>
      <c r="BL325" s="173"/>
      <c r="BM325" s="173"/>
      <c r="BN325"/>
      <c r="BO325"/>
      <c r="BP325"/>
      <c r="BQ325"/>
    </row>
    <row r="326" spans="2:69" ht="25" customHeight="1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 s="173"/>
      <c r="AQ326"/>
      <c r="AR326"/>
      <c r="AS326"/>
      <c r="AT326"/>
      <c r="AU326"/>
      <c r="AV326"/>
      <c r="AW326"/>
      <c r="AX326"/>
      <c r="AY326"/>
      <c r="AZ326"/>
      <c r="BA326"/>
      <c r="BB326" s="173"/>
      <c r="BC326" s="173"/>
      <c r="BD326" s="173"/>
      <c r="BE326" s="173"/>
      <c r="BF326" s="173"/>
      <c r="BG326" s="173"/>
      <c r="BH326" s="173"/>
      <c r="BI326" s="173"/>
      <c r="BJ326" s="173"/>
      <c r="BK326" s="173"/>
      <c r="BL326" s="173"/>
      <c r="BM326" s="173"/>
      <c r="BN326"/>
      <c r="BO326"/>
      <c r="BP326"/>
      <c r="BQ326"/>
    </row>
    <row r="327" spans="2:69" ht="25" customHeight="1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 s="173"/>
      <c r="AQ327"/>
      <c r="AR327"/>
      <c r="AS327"/>
      <c r="AT327"/>
      <c r="AU327"/>
      <c r="AV327"/>
      <c r="AW327"/>
      <c r="AX327"/>
      <c r="AY327"/>
      <c r="AZ327"/>
      <c r="BA327"/>
      <c r="BB327" s="173"/>
      <c r="BC327" s="173"/>
      <c r="BD327" s="173"/>
      <c r="BE327" s="173"/>
      <c r="BF327" s="173"/>
      <c r="BG327" s="173"/>
      <c r="BH327" s="173"/>
      <c r="BI327" s="173"/>
      <c r="BJ327" s="173"/>
      <c r="BK327" s="173"/>
      <c r="BL327" s="173"/>
      <c r="BM327" s="173"/>
      <c r="BN327"/>
      <c r="BO327"/>
      <c r="BP327"/>
      <c r="BQ327"/>
    </row>
    <row r="328" spans="2:69" ht="25" customHeight="1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 s="173"/>
      <c r="AQ328"/>
      <c r="AR328"/>
      <c r="AS328"/>
      <c r="AT328"/>
      <c r="AU328"/>
      <c r="AV328"/>
      <c r="AW328"/>
      <c r="AX328"/>
      <c r="AY328"/>
      <c r="AZ328"/>
      <c r="BA328"/>
      <c r="BB328" s="173"/>
      <c r="BC328" s="173"/>
      <c r="BD328" s="173"/>
      <c r="BE328" s="173"/>
      <c r="BF328" s="173"/>
      <c r="BG328" s="173"/>
      <c r="BH328" s="173"/>
      <c r="BI328" s="173"/>
      <c r="BJ328" s="173"/>
      <c r="BK328" s="173"/>
      <c r="BL328" s="173"/>
      <c r="BM328" s="173"/>
      <c r="BN328"/>
      <c r="BO328"/>
      <c r="BP328"/>
      <c r="BQ328"/>
    </row>
    <row r="329" spans="2:69" ht="25" customHeight="1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 s="173"/>
      <c r="AQ329"/>
      <c r="AR329"/>
      <c r="AS329"/>
      <c r="AT329"/>
      <c r="AU329"/>
      <c r="AV329"/>
      <c r="AW329"/>
      <c r="AX329"/>
      <c r="AY329"/>
      <c r="AZ329"/>
      <c r="BA329"/>
      <c r="BB329" s="173"/>
      <c r="BC329" s="173"/>
      <c r="BD329" s="173"/>
      <c r="BE329" s="173"/>
      <c r="BF329" s="173"/>
      <c r="BG329" s="173"/>
      <c r="BH329" s="173"/>
      <c r="BI329" s="173"/>
      <c r="BJ329" s="173"/>
      <c r="BK329" s="173"/>
      <c r="BL329" s="173"/>
      <c r="BM329" s="173"/>
      <c r="BN329"/>
      <c r="BO329"/>
      <c r="BP329"/>
      <c r="BQ329"/>
    </row>
    <row r="330" spans="2:69" ht="25" customHeight="1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 s="173"/>
      <c r="AQ330"/>
      <c r="AR330"/>
      <c r="AS330"/>
      <c r="AT330"/>
      <c r="AU330"/>
      <c r="AV330"/>
      <c r="AW330"/>
      <c r="AX330"/>
      <c r="AY330"/>
      <c r="AZ330"/>
      <c r="BA330"/>
      <c r="BB330" s="173"/>
      <c r="BC330" s="173"/>
      <c r="BD330" s="173"/>
      <c r="BE330" s="173"/>
      <c r="BF330" s="173"/>
      <c r="BG330" s="173"/>
      <c r="BH330" s="173"/>
      <c r="BI330" s="173"/>
      <c r="BJ330" s="173"/>
      <c r="BK330" s="173"/>
      <c r="BL330" s="173"/>
      <c r="BM330" s="173"/>
      <c r="BN330"/>
      <c r="BO330"/>
      <c r="BP330"/>
      <c r="BQ330"/>
    </row>
    <row r="331" spans="2:69" ht="25" customHeight="1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 s="173"/>
      <c r="AQ331"/>
      <c r="AR331"/>
      <c r="AS331"/>
      <c r="AT331"/>
      <c r="AU331"/>
      <c r="AV331"/>
      <c r="AW331"/>
      <c r="AX331"/>
      <c r="AY331"/>
      <c r="AZ331"/>
      <c r="BA331"/>
      <c r="BB331" s="173"/>
      <c r="BC331" s="173"/>
      <c r="BD331" s="173"/>
      <c r="BE331" s="173"/>
      <c r="BF331" s="173"/>
      <c r="BG331" s="173"/>
      <c r="BH331" s="173"/>
      <c r="BI331" s="173"/>
      <c r="BJ331" s="173"/>
      <c r="BK331" s="173"/>
      <c r="BL331" s="173"/>
      <c r="BM331" s="173"/>
      <c r="BN331"/>
      <c r="BO331"/>
      <c r="BP331"/>
      <c r="BQ331"/>
    </row>
    <row r="332" spans="2:69" ht="25" customHeight="1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 s="173"/>
      <c r="AQ332"/>
      <c r="AR332"/>
      <c r="AS332"/>
      <c r="AT332"/>
      <c r="AU332"/>
      <c r="AV332"/>
      <c r="AW332"/>
      <c r="AX332"/>
      <c r="AY332"/>
      <c r="AZ332"/>
      <c r="BA332"/>
      <c r="BB332" s="173"/>
      <c r="BC332" s="173"/>
      <c r="BD332" s="173"/>
      <c r="BE332" s="173"/>
      <c r="BF332" s="173"/>
      <c r="BG332" s="173"/>
      <c r="BH332" s="173"/>
      <c r="BI332" s="173"/>
      <c r="BJ332" s="173"/>
      <c r="BK332" s="173"/>
      <c r="BL332" s="173"/>
      <c r="BM332" s="173"/>
      <c r="BN332"/>
      <c r="BO332"/>
      <c r="BP332"/>
      <c r="BQ332"/>
    </row>
    <row r="333" spans="2:69" ht="25" customHeight="1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 s="173"/>
      <c r="AQ333"/>
      <c r="AR333"/>
      <c r="AS333"/>
      <c r="AT333"/>
      <c r="AU333"/>
      <c r="AV333"/>
      <c r="AW333"/>
      <c r="AX333"/>
      <c r="AY333"/>
      <c r="AZ333"/>
      <c r="BA333"/>
      <c r="BB333" s="173"/>
      <c r="BC333" s="173"/>
      <c r="BD333" s="173"/>
      <c r="BE333" s="173"/>
      <c r="BF333" s="173"/>
      <c r="BG333" s="173"/>
      <c r="BH333" s="173"/>
      <c r="BI333" s="173"/>
      <c r="BJ333" s="173"/>
      <c r="BK333" s="173"/>
      <c r="BL333" s="173"/>
      <c r="BM333" s="173"/>
      <c r="BN333"/>
      <c r="BO333"/>
      <c r="BP333"/>
      <c r="BQ333"/>
    </row>
    <row r="334" spans="2:69" ht="25" customHeight="1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 s="173"/>
      <c r="AQ334"/>
      <c r="AR334"/>
      <c r="AS334"/>
      <c r="AT334"/>
      <c r="AU334"/>
      <c r="AV334"/>
      <c r="AW334"/>
      <c r="AX334"/>
      <c r="AY334"/>
      <c r="AZ334"/>
      <c r="BA334"/>
      <c r="BB334" s="173"/>
      <c r="BC334" s="173"/>
      <c r="BD334" s="173"/>
      <c r="BE334" s="173"/>
      <c r="BF334" s="173"/>
      <c r="BG334" s="173"/>
      <c r="BH334" s="173"/>
      <c r="BI334" s="173"/>
      <c r="BJ334" s="173"/>
      <c r="BK334" s="173"/>
      <c r="BL334" s="173"/>
      <c r="BM334" s="173"/>
      <c r="BN334"/>
      <c r="BO334"/>
      <c r="BP334"/>
      <c r="BQ334"/>
    </row>
    <row r="335" spans="2:69" ht="25" customHeight="1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 s="173"/>
      <c r="AQ335"/>
      <c r="AR335"/>
      <c r="AS335"/>
      <c r="AT335"/>
      <c r="AU335"/>
      <c r="AV335"/>
      <c r="AW335"/>
      <c r="AX335"/>
      <c r="AY335"/>
      <c r="AZ335"/>
      <c r="BA335"/>
      <c r="BB335" s="173"/>
      <c r="BC335" s="173"/>
      <c r="BD335" s="173"/>
      <c r="BE335" s="173"/>
      <c r="BF335" s="173"/>
      <c r="BG335" s="173"/>
      <c r="BH335" s="173"/>
      <c r="BI335" s="173"/>
      <c r="BJ335" s="173"/>
      <c r="BK335" s="173"/>
      <c r="BL335" s="173"/>
      <c r="BM335" s="173"/>
      <c r="BN335"/>
      <c r="BO335"/>
      <c r="BP335"/>
      <c r="BQ335"/>
    </row>
    <row r="336" spans="2:69" ht="25" customHeight="1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 s="173"/>
      <c r="AQ336"/>
      <c r="AR336"/>
      <c r="AS336"/>
      <c r="AT336"/>
      <c r="AU336"/>
      <c r="AV336"/>
      <c r="AW336"/>
      <c r="AX336"/>
      <c r="AY336"/>
      <c r="AZ336"/>
      <c r="BA336"/>
      <c r="BB336" s="173"/>
      <c r="BC336" s="173"/>
      <c r="BD336" s="173"/>
      <c r="BE336" s="173"/>
      <c r="BF336" s="173"/>
      <c r="BG336" s="173"/>
      <c r="BH336" s="173"/>
      <c r="BI336" s="173"/>
      <c r="BJ336" s="173"/>
      <c r="BK336" s="173"/>
      <c r="BL336" s="173"/>
      <c r="BM336" s="173"/>
      <c r="BN336"/>
      <c r="BO336"/>
      <c r="BP336"/>
      <c r="BQ336"/>
    </row>
    <row r="337" spans="2:69" ht="25" customHeight="1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 s="173"/>
      <c r="AQ337"/>
      <c r="AR337"/>
      <c r="AS337"/>
      <c r="AT337"/>
      <c r="AU337"/>
      <c r="AV337"/>
      <c r="AW337"/>
      <c r="AX337"/>
      <c r="AY337"/>
      <c r="AZ337"/>
      <c r="BA337"/>
      <c r="BB337" s="173"/>
      <c r="BC337" s="173"/>
      <c r="BD337" s="173"/>
      <c r="BE337" s="173"/>
      <c r="BF337" s="173"/>
      <c r="BG337" s="173"/>
      <c r="BH337" s="173"/>
      <c r="BI337" s="173"/>
      <c r="BJ337" s="173"/>
      <c r="BK337" s="173"/>
      <c r="BL337" s="173"/>
      <c r="BM337" s="173"/>
      <c r="BN337"/>
      <c r="BO337"/>
      <c r="BP337"/>
      <c r="BQ337"/>
    </row>
    <row r="338" spans="2:69" ht="25" customHeight="1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 s="173"/>
      <c r="AQ338"/>
      <c r="AR338"/>
      <c r="AS338"/>
      <c r="AT338"/>
      <c r="AU338"/>
      <c r="AV338"/>
      <c r="AW338"/>
      <c r="AX338"/>
      <c r="AY338"/>
      <c r="AZ338"/>
      <c r="BA338"/>
      <c r="BB338" s="173"/>
      <c r="BC338" s="173"/>
      <c r="BD338" s="173"/>
      <c r="BE338" s="173"/>
      <c r="BF338" s="173"/>
      <c r="BG338" s="173"/>
      <c r="BH338" s="173"/>
      <c r="BI338" s="173"/>
      <c r="BJ338" s="173"/>
      <c r="BK338" s="173"/>
      <c r="BL338" s="173"/>
      <c r="BM338" s="173"/>
      <c r="BN338"/>
      <c r="BO338"/>
      <c r="BP338"/>
      <c r="BQ338"/>
    </row>
    <row r="339" spans="2:69" ht="25" customHeight="1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 s="173"/>
      <c r="AQ339"/>
      <c r="AR339"/>
      <c r="AS339"/>
      <c r="AT339"/>
      <c r="AU339"/>
      <c r="AV339"/>
      <c r="AW339"/>
      <c r="AX339"/>
      <c r="AY339"/>
      <c r="AZ339"/>
      <c r="BA339"/>
      <c r="BB339" s="173"/>
      <c r="BC339" s="173"/>
      <c r="BD339" s="173"/>
      <c r="BE339" s="173"/>
      <c r="BF339" s="173"/>
      <c r="BG339" s="173"/>
      <c r="BH339" s="173"/>
      <c r="BI339" s="173"/>
      <c r="BJ339" s="173"/>
      <c r="BK339" s="173"/>
      <c r="BL339" s="173"/>
      <c r="BM339" s="173"/>
      <c r="BN339"/>
      <c r="BO339"/>
      <c r="BP339"/>
      <c r="BQ339"/>
    </row>
    <row r="340" spans="2:69" ht="25" customHeight="1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 s="173"/>
      <c r="AQ340"/>
      <c r="AR340"/>
      <c r="AS340"/>
      <c r="AT340"/>
      <c r="AU340"/>
      <c r="AV340"/>
      <c r="AW340"/>
      <c r="AX340"/>
      <c r="AY340"/>
      <c r="AZ340"/>
      <c r="BA340"/>
      <c r="BB340" s="173"/>
      <c r="BC340" s="173"/>
      <c r="BD340" s="173"/>
      <c r="BE340" s="173"/>
      <c r="BF340" s="173"/>
      <c r="BG340" s="173"/>
      <c r="BH340" s="173"/>
      <c r="BI340" s="173"/>
      <c r="BJ340" s="173"/>
      <c r="BK340" s="173"/>
      <c r="BL340" s="173"/>
      <c r="BM340" s="173"/>
      <c r="BN340"/>
      <c r="BO340"/>
      <c r="BP340"/>
      <c r="BQ340"/>
    </row>
    <row r="341" spans="2:69" ht="25" customHeight="1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 s="173"/>
      <c r="AQ341"/>
      <c r="AR341"/>
      <c r="AS341"/>
      <c r="AT341"/>
      <c r="AU341"/>
      <c r="AV341"/>
      <c r="AW341"/>
      <c r="AX341"/>
      <c r="AY341"/>
      <c r="AZ341"/>
      <c r="BA341"/>
      <c r="BB341" s="173"/>
      <c r="BC341" s="173"/>
      <c r="BD341" s="173"/>
      <c r="BE341" s="173"/>
      <c r="BF341" s="173"/>
      <c r="BG341" s="173"/>
      <c r="BH341" s="173"/>
      <c r="BI341" s="173"/>
      <c r="BJ341" s="173"/>
      <c r="BK341" s="173"/>
      <c r="BL341" s="173"/>
      <c r="BM341" s="173"/>
      <c r="BN341"/>
      <c r="BO341"/>
      <c r="BP341"/>
      <c r="BQ341"/>
    </row>
    <row r="342" spans="2:69" ht="25" customHeight="1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 s="173"/>
      <c r="AQ342"/>
      <c r="AR342"/>
      <c r="AS342"/>
      <c r="AT342"/>
      <c r="AU342"/>
      <c r="AV342"/>
      <c r="AW342"/>
      <c r="AX342"/>
      <c r="AY342"/>
      <c r="AZ342"/>
      <c r="BA342"/>
      <c r="BB342" s="173"/>
      <c r="BC342" s="173"/>
      <c r="BD342" s="173"/>
      <c r="BE342" s="173"/>
      <c r="BF342" s="173"/>
      <c r="BG342" s="173"/>
      <c r="BH342" s="173"/>
      <c r="BI342" s="173"/>
      <c r="BJ342" s="173"/>
      <c r="BK342" s="173"/>
      <c r="BL342" s="173"/>
      <c r="BM342" s="173"/>
      <c r="BN342"/>
      <c r="BO342"/>
      <c r="BP342"/>
      <c r="BQ342"/>
    </row>
    <row r="343" spans="2:69" ht="25" customHeight="1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 s="173"/>
      <c r="AQ343"/>
      <c r="AR343"/>
      <c r="AS343"/>
      <c r="AT343"/>
      <c r="AU343"/>
      <c r="AV343"/>
      <c r="AW343"/>
      <c r="AX343"/>
      <c r="AY343"/>
      <c r="AZ343"/>
      <c r="BA343"/>
      <c r="BB343" s="173"/>
      <c r="BC343" s="173"/>
      <c r="BD343" s="173"/>
      <c r="BE343" s="173"/>
      <c r="BF343" s="173"/>
      <c r="BG343" s="173"/>
      <c r="BH343" s="173"/>
      <c r="BI343" s="173"/>
      <c r="BJ343" s="173"/>
      <c r="BK343" s="173"/>
      <c r="BL343" s="173"/>
      <c r="BM343" s="173"/>
      <c r="BN343"/>
      <c r="BO343"/>
      <c r="BP343"/>
      <c r="BQ343"/>
    </row>
    <row r="344" spans="2:69" ht="25" customHeight="1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 s="173"/>
      <c r="AQ344"/>
      <c r="AR344"/>
      <c r="AS344"/>
      <c r="AT344"/>
      <c r="AU344"/>
      <c r="AV344"/>
      <c r="AW344"/>
      <c r="AX344"/>
      <c r="AY344"/>
      <c r="AZ344"/>
      <c r="BA344"/>
      <c r="BB344" s="173"/>
      <c r="BC344" s="173"/>
      <c r="BD344" s="173"/>
      <c r="BE344" s="173"/>
      <c r="BF344" s="173"/>
      <c r="BG344" s="173"/>
      <c r="BH344" s="173"/>
      <c r="BI344" s="173"/>
      <c r="BJ344" s="173"/>
      <c r="BK344" s="173"/>
      <c r="BL344" s="173"/>
      <c r="BM344" s="173"/>
      <c r="BN344"/>
      <c r="BO344"/>
      <c r="BP344"/>
      <c r="BQ344"/>
    </row>
    <row r="345" spans="2:69" ht="25" customHeight="1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 s="173"/>
      <c r="AQ345"/>
      <c r="AR345"/>
      <c r="AS345"/>
      <c r="AT345"/>
      <c r="AU345"/>
      <c r="AV345"/>
      <c r="AW345"/>
      <c r="AX345"/>
      <c r="AY345"/>
      <c r="AZ345"/>
      <c r="BA345"/>
      <c r="BB345" s="173"/>
      <c r="BC345" s="173"/>
      <c r="BD345" s="173"/>
      <c r="BE345" s="173"/>
      <c r="BF345" s="173"/>
      <c r="BG345" s="173"/>
      <c r="BH345" s="173"/>
      <c r="BI345" s="173"/>
      <c r="BJ345" s="173"/>
      <c r="BK345" s="173"/>
      <c r="BL345" s="173"/>
      <c r="BM345" s="173"/>
      <c r="BN345"/>
      <c r="BO345"/>
      <c r="BP345"/>
      <c r="BQ345"/>
    </row>
    <row r="346" spans="2:69" ht="25" customHeight="1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 s="173"/>
      <c r="AQ346"/>
      <c r="AR346"/>
      <c r="AS346"/>
      <c r="AT346"/>
      <c r="AU346"/>
      <c r="AV346"/>
      <c r="AW346"/>
      <c r="AX346"/>
      <c r="AY346"/>
      <c r="AZ346"/>
      <c r="BA346"/>
      <c r="BB346" s="173"/>
      <c r="BC346" s="173"/>
      <c r="BD346" s="173"/>
      <c r="BE346" s="173"/>
      <c r="BF346" s="173"/>
      <c r="BG346" s="173"/>
      <c r="BH346" s="173"/>
      <c r="BI346" s="173"/>
      <c r="BJ346" s="173"/>
      <c r="BK346" s="173"/>
      <c r="BL346" s="173"/>
      <c r="BM346" s="173"/>
      <c r="BN346"/>
      <c r="BO346"/>
      <c r="BP346"/>
      <c r="BQ346"/>
    </row>
    <row r="347" spans="2:69" ht="25" customHeight="1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 s="173"/>
      <c r="AQ347"/>
      <c r="AR347"/>
      <c r="AS347"/>
      <c r="AT347"/>
      <c r="AU347"/>
      <c r="AV347"/>
      <c r="AW347"/>
      <c r="AX347"/>
      <c r="AY347"/>
      <c r="AZ347"/>
      <c r="BA347"/>
      <c r="BB347" s="173"/>
      <c r="BC347" s="173"/>
      <c r="BD347" s="173"/>
      <c r="BE347" s="173"/>
      <c r="BF347" s="173"/>
      <c r="BG347" s="173"/>
      <c r="BH347" s="173"/>
      <c r="BI347" s="173"/>
      <c r="BJ347" s="173"/>
      <c r="BK347" s="173"/>
      <c r="BL347" s="173"/>
      <c r="BM347" s="173"/>
      <c r="BN347"/>
      <c r="BO347"/>
      <c r="BP347"/>
      <c r="BQ347"/>
    </row>
    <row r="348" spans="2:69" ht="25" customHeight="1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 s="173"/>
      <c r="AQ348"/>
      <c r="AR348"/>
      <c r="AS348"/>
      <c r="AT348"/>
      <c r="AU348"/>
      <c r="AV348"/>
      <c r="AW348"/>
      <c r="AX348"/>
      <c r="AY348"/>
      <c r="AZ348"/>
      <c r="BA348"/>
      <c r="BB348" s="173"/>
      <c r="BC348" s="173"/>
      <c r="BD348" s="173"/>
      <c r="BE348" s="173"/>
      <c r="BF348" s="173"/>
      <c r="BG348" s="173"/>
      <c r="BH348" s="173"/>
      <c r="BI348" s="173"/>
      <c r="BJ348" s="173"/>
      <c r="BK348" s="173"/>
      <c r="BL348" s="173"/>
      <c r="BM348" s="173"/>
      <c r="BN348"/>
      <c r="BO348"/>
      <c r="BP348"/>
      <c r="BQ348"/>
    </row>
    <row r="349" spans="2:69" ht="25" customHeight="1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 s="173"/>
      <c r="AQ349"/>
      <c r="AR349"/>
      <c r="AS349"/>
      <c r="AT349"/>
      <c r="AU349"/>
      <c r="AV349"/>
      <c r="AW349"/>
      <c r="AX349"/>
      <c r="AY349"/>
      <c r="AZ349"/>
      <c r="BA349"/>
      <c r="BB349" s="173"/>
      <c r="BC349" s="173"/>
      <c r="BD349" s="173"/>
      <c r="BE349" s="173"/>
      <c r="BF349" s="173"/>
      <c r="BG349" s="173"/>
      <c r="BH349" s="173"/>
      <c r="BI349" s="173"/>
      <c r="BJ349" s="173"/>
      <c r="BK349" s="173"/>
      <c r="BL349" s="173"/>
      <c r="BM349" s="173"/>
      <c r="BN349"/>
      <c r="BO349"/>
      <c r="BP349"/>
      <c r="BQ349"/>
    </row>
    <row r="350" spans="2:69" ht="25" customHeight="1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 s="173"/>
      <c r="AQ350"/>
      <c r="AR350"/>
      <c r="AS350"/>
      <c r="AT350"/>
      <c r="AU350"/>
      <c r="AV350"/>
      <c r="AW350"/>
      <c r="AX350"/>
      <c r="AY350"/>
      <c r="AZ350"/>
      <c r="BA350"/>
      <c r="BB350" s="173"/>
      <c r="BC350" s="173"/>
      <c r="BD350" s="173"/>
      <c r="BE350" s="173"/>
      <c r="BF350" s="173"/>
      <c r="BG350" s="173"/>
      <c r="BH350" s="173"/>
      <c r="BI350" s="173"/>
      <c r="BJ350" s="173"/>
      <c r="BK350" s="173"/>
      <c r="BL350" s="173"/>
      <c r="BM350" s="173"/>
      <c r="BN350"/>
      <c r="BO350"/>
      <c r="BP350"/>
      <c r="BQ350"/>
    </row>
    <row r="351" spans="2:69" ht="25" customHeight="1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 s="173"/>
      <c r="AQ351"/>
      <c r="AR351"/>
      <c r="AS351"/>
      <c r="AT351"/>
      <c r="AU351"/>
      <c r="AV351"/>
      <c r="AW351"/>
      <c r="AX351"/>
      <c r="AY351"/>
      <c r="AZ351"/>
      <c r="BA351"/>
      <c r="BB351" s="173"/>
      <c r="BC351" s="173"/>
      <c r="BD351" s="173"/>
      <c r="BE351" s="173"/>
      <c r="BF351" s="173"/>
      <c r="BG351" s="173"/>
      <c r="BH351" s="173"/>
      <c r="BI351" s="173"/>
      <c r="BJ351" s="173"/>
      <c r="BK351" s="173"/>
      <c r="BL351" s="173"/>
      <c r="BM351" s="173"/>
      <c r="BN351"/>
      <c r="BO351"/>
      <c r="BP351"/>
      <c r="BQ351"/>
    </row>
    <row r="352" spans="2:69" ht="25" customHeight="1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 s="173"/>
      <c r="AQ352"/>
      <c r="AR352"/>
      <c r="AS352"/>
      <c r="AT352"/>
      <c r="AU352"/>
      <c r="AV352"/>
      <c r="AW352"/>
      <c r="AX352"/>
      <c r="AY352"/>
      <c r="AZ352"/>
      <c r="BA352"/>
      <c r="BB352" s="173"/>
      <c r="BC352" s="173"/>
      <c r="BD352" s="173"/>
      <c r="BE352" s="173"/>
      <c r="BF352" s="173"/>
      <c r="BG352" s="173"/>
      <c r="BH352" s="173"/>
      <c r="BI352" s="173"/>
      <c r="BJ352" s="173"/>
      <c r="BK352" s="173"/>
      <c r="BL352" s="173"/>
      <c r="BM352" s="173"/>
      <c r="BN352"/>
      <c r="BO352"/>
      <c r="BP352"/>
      <c r="BQ352"/>
    </row>
    <row r="353" spans="2:69" ht="25" customHeight="1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 s="173"/>
      <c r="AQ353"/>
      <c r="AR353"/>
      <c r="AS353"/>
      <c r="AT353"/>
      <c r="AU353"/>
      <c r="AV353"/>
      <c r="AW353"/>
      <c r="AX353"/>
      <c r="AY353"/>
      <c r="AZ353"/>
      <c r="BA353"/>
      <c r="BB353" s="173"/>
      <c r="BC353" s="173"/>
      <c r="BD353" s="173"/>
      <c r="BE353" s="173"/>
      <c r="BF353" s="173"/>
      <c r="BG353" s="173"/>
      <c r="BH353" s="173"/>
      <c r="BI353" s="173"/>
      <c r="BJ353" s="173"/>
      <c r="BK353" s="173"/>
      <c r="BL353" s="173"/>
      <c r="BM353" s="173"/>
      <c r="BN353"/>
      <c r="BO353"/>
      <c r="BP353"/>
      <c r="BQ353"/>
    </row>
    <row r="354" spans="2:69" ht="25" customHeight="1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 s="173"/>
      <c r="AQ354"/>
      <c r="AR354"/>
      <c r="AS354"/>
      <c r="AT354"/>
      <c r="AU354"/>
      <c r="AV354"/>
      <c r="AW354"/>
      <c r="AX354"/>
      <c r="AY354"/>
      <c r="AZ354"/>
      <c r="BA354"/>
      <c r="BB354" s="173"/>
      <c r="BC354" s="173"/>
      <c r="BD354" s="173"/>
      <c r="BE354" s="173"/>
      <c r="BF354" s="173"/>
      <c r="BG354" s="173"/>
      <c r="BH354" s="173"/>
      <c r="BI354" s="173"/>
      <c r="BJ354" s="173"/>
      <c r="BK354" s="173"/>
      <c r="BL354" s="173"/>
      <c r="BM354" s="173"/>
      <c r="BN354"/>
      <c r="BO354"/>
      <c r="BP354"/>
      <c r="BQ354"/>
    </row>
    <row r="355" spans="2:69" ht="25" customHeight="1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 s="173"/>
      <c r="AQ355"/>
      <c r="AR355"/>
      <c r="AS355"/>
      <c r="AT355"/>
      <c r="AU355"/>
      <c r="AV355"/>
      <c r="AW355"/>
      <c r="AX355"/>
      <c r="AY355"/>
      <c r="AZ355"/>
      <c r="BA355"/>
      <c r="BB355" s="173"/>
      <c r="BC355" s="173"/>
      <c r="BD355" s="173"/>
      <c r="BE355" s="173"/>
      <c r="BF355" s="173"/>
      <c r="BG355" s="173"/>
      <c r="BH355" s="173"/>
      <c r="BI355" s="173"/>
      <c r="BJ355" s="173"/>
      <c r="BK355" s="173"/>
      <c r="BL355" s="173"/>
      <c r="BM355" s="173"/>
      <c r="BN355"/>
      <c r="BO355"/>
      <c r="BP355"/>
      <c r="BQ355"/>
    </row>
    <row r="356" spans="2:69" ht="25" customHeight="1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 s="173"/>
      <c r="AQ356"/>
      <c r="AR356"/>
      <c r="AS356"/>
      <c r="AT356"/>
      <c r="AU356"/>
      <c r="AV356"/>
      <c r="AW356"/>
      <c r="AX356"/>
      <c r="AY356"/>
      <c r="AZ356"/>
      <c r="BA356"/>
      <c r="BB356" s="173"/>
      <c r="BC356" s="173"/>
      <c r="BD356" s="173"/>
      <c r="BE356" s="173"/>
      <c r="BF356" s="173"/>
      <c r="BG356" s="173"/>
      <c r="BH356" s="173"/>
      <c r="BI356" s="173"/>
      <c r="BJ356" s="173"/>
      <c r="BK356" s="173"/>
      <c r="BL356" s="173"/>
      <c r="BM356" s="173"/>
      <c r="BN356"/>
      <c r="BO356"/>
      <c r="BP356"/>
      <c r="BQ356"/>
    </row>
    <row r="357" spans="2:69" ht="25" customHeight="1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 s="173"/>
      <c r="AQ357"/>
      <c r="AR357"/>
      <c r="AS357"/>
      <c r="AT357"/>
      <c r="AU357"/>
      <c r="AV357"/>
      <c r="AW357"/>
      <c r="AX357"/>
      <c r="AY357"/>
      <c r="AZ357"/>
      <c r="BA357"/>
      <c r="BB357" s="173"/>
      <c r="BC357" s="173"/>
      <c r="BD357" s="173"/>
      <c r="BE357" s="173"/>
      <c r="BF357" s="173"/>
      <c r="BG357" s="173"/>
      <c r="BH357" s="173"/>
      <c r="BI357" s="173"/>
      <c r="BJ357" s="173"/>
      <c r="BK357" s="173"/>
      <c r="BL357" s="173"/>
      <c r="BM357" s="173"/>
      <c r="BN357"/>
      <c r="BO357"/>
      <c r="BP357"/>
      <c r="BQ357"/>
    </row>
    <row r="358" spans="2:69" ht="25" customHeight="1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 s="173"/>
      <c r="AQ358"/>
      <c r="AR358"/>
      <c r="AS358"/>
      <c r="AT358"/>
      <c r="AU358"/>
      <c r="AV358"/>
      <c r="AW358"/>
      <c r="AX358"/>
      <c r="AY358"/>
      <c r="AZ358"/>
      <c r="BA358"/>
      <c r="BB358" s="173"/>
      <c r="BC358" s="173"/>
      <c r="BD358" s="173"/>
      <c r="BE358" s="173"/>
      <c r="BF358" s="173"/>
      <c r="BG358" s="173"/>
      <c r="BH358" s="173"/>
      <c r="BI358" s="173"/>
      <c r="BJ358" s="173"/>
      <c r="BK358" s="173"/>
      <c r="BL358" s="173"/>
      <c r="BM358" s="173"/>
      <c r="BN358"/>
      <c r="BO358"/>
      <c r="BP358"/>
      <c r="BQ358"/>
    </row>
    <row r="359" spans="2:69" ht="25" customHeight="1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 s="173"/>
      <c r="AQ359"/>
      <c r="AR359"/>
      <c r="AS359"/>
      <c r="AT359"/>
      <c r="AU359"/>
      <c r="AV359"/>
      <c r="AW359"/>
      <c r="AX359"/>
      <c r="AY359"/>
      <c r="AZ359"/>
      <c r="BA359"/>
      <c r="BB359" s="173"/>
      <c r="BC359" s="173"/>
      <c r="BD359" s="173"/>
      <c r="BE359" s="173"/>
      <c r="BF359" s="173"/>
      <c r="BG359" s="173"/>
      <c r="BH359" s="173"/>
      <c r="BI359" s="173"/>
      <c r="BJ359" s="173"/>
      <c r="BK359" s="173"/>
      <c r="BL359" s="173"/>
      <c r="BM359" s="173"/>
      <c r="BN359"/>
      <c r="BO359"/>
      <c r="BP359"/>
      <c r="BQ359"/>
    </row>
    <row r="360" spans="2:69" ht="25" customHeight="1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 s="173"/>
      <c r="AQ360"/>
      <c r="AR360"/>
      <c r="AS360"/>
      <c r="AT360"/>
      <c r="AU360"/>
      <c r="AV360"/>
      <c r="AW360"/>
      <c r="AX360"/>
      <c r="AY360"/>
      <c r="AZ360"/>
      <c r="BA360"/>
      <c r="BB360" s="173"/>
      <c r="BC360" s="173"/>
      <c r="BD360" s="173"/>
      <c r="BE360" s="173"/>
      <c r="BF360" s="173"/>
      <c r="BG360" s="173"/>
      <c r="BH360" s="173"/>
      <c r="BI360" s="173"/>
      <c r="BJ360" s="173"/>
      <c r="BK360" s="173"/>
      <c r="BL360" s="173"/>
      <c r="BM360" s="173"/>
      <c r="BN360"/>
      <c r="BO360"/>
      <c r="BP360"/>
      <c r="BQ360"/>
    </row>
    <row r="361" spans="2:69" ht="25" customHeight="1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 s="173"/>
      <c r="AQ361"/>
      <c r="AR361"/>
      <c r="AS361"/>
      <c r="AT361"/>
      <c r="AU361"/>
      <c r="AV361"/>
      <c r="AW361"/>
      <c r="AX361"/>
      <c r="AY361"/>
      <c r="AZ361"/>
      <c r="BA361"/>
      <c r="BB361" s="173"/>
      <c r="BC361" s="173"/>
      <c r="BD361" s="173"/>
      <c r="BE361" s="173"/>
      <c r="BF361" s="173"/>
      <c r="BG361" s="173"/>
      <c r="BH361" s="173"/>
      <c r="BI361" s="173"/>
      <c r="BJ361" s="173"/>
      <c r="BK361" s="173"/>
      <c r="BL361" s="173"/>
      <c r="BM361" s="173"/>
      <c r="BN361"/>
      <c r="BO361"/>
      <c r="BP361"/>
      <c r="BQ361"/>
    </row>
    <row r="362" spans="2:69" ht="25" customHeight="1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 s="173"/>
      <c r="AQ362"/>
      <c r="AR362"/>
      <c r="AS362"/>
      <c r="AT362"/>
      <c r="AU362"/>
      <c r="AV362"/>
      <c r="AW362"/>
      <c r="AX362"/>
      <c r="AY362"/>
      <c r="AZ362"/>
      <c r="BA362"/>
      <c r="BB362" s="173"/>
      <c r="BC362" s="173"/>
      <c r="BD362" s="173"/>
      <c r="BE362" s="173"/>
      <c r="BF362" s="173"/>
      <c r="BG362" s="173"/>
      <c r="BH362" s="173"/>
      <c r="BI362" s="173"/>
      <c r="BJ362" s="173"/>
      <c r="BK362" s="173"/>
      <c r="BL362" s="173"/>
      <c r="BM362" s="173"/>
      <c r="BN362"/>
      <c r="BO362"/>
      <c r="BP362"/>
      <c r="BQ362"/>
    </row>
    <row r="363" spans="2:69" ht="25" customHeight="1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 s="173"/>
      <c r="AQ363"/>
      <c r="AR363"/>
      <c r="AS363"/>
      <c r="AT363"/>
      <c r="AU363"/>
      <c r="AV363"/>
      <c r="AW363"/>
      <c r="AX363"/>
      <c r="AY363"/>
      <c r="AZ363"/>
      <c r="BA363"/>
      <c r="BB363" s="173"/>
      <c r="BC363" s="173"/>
      <c r="BD363" s="173"/>
      <c r="BE363" s="173"/>
      <c r="BF363" s="173"/>
      <c r="BG363" s="173"/>
      <c r="BH363" s="173"/>
      <c r="BI363" s="173"/>
      <c r="BJ363" s="173"/>
      <c r="BK363" s="173"/>
      <c r="BL363" s="173"/>
      <c r="BM363" s="173"/>
      <c r="BN363"/>
      <c r="BO363"/>
      <c r="BP363"/>
      <c r="BQ363"/>
    </row>
    <row r="364" spans="2:69" ht="25" customHeight="1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 s="173"/>
      <c r="AQ364"/>
      <c r="AR364"/>
      <c r="AS364"/>
      <c r="AT364"/>
      <c r="AU364"/>
      <c r="AV364"/>
      <c r="AW364"/>
      <c r="AX364"/>
      <c r="AY364"/>
      <c r="AZ364"/>
      <c r="BA364"/>
      <c r="BB364" s="173"/>
      <c r="BC364" s="173"/>
      <c r="BD364" s="173"/>
      <c r="BE364" s="173"/>
      <c r="BF364" s="173"/>
      <c r="BG364" s="173"/>
      <c r="BH364" s="173"/>
      <c r="BI364" s="173"/>
      <c r="BJ364" s="173"/>
      <c r="BK364" s="173"/>
      <c r="BL364" s="173"/>
      <c r="BM364" s="173"/>
      <c r="BN364"/>
      <c r="BO364"/>
      <c r="BP364"/>
      <c r="BQ364"/>
    </row>
    <row r="365" spans="2:69" ht="25" customHeight="1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 s="173"/>
      <c r="AQ365"/>
      <c r="AR365"/>
      <c r="AS365"/>
      <c r="AT365"/>
      <c r="AU365"/>
      <c r="AV365"/>
      <c r="AW365"/>
      <c r="AX365"/>
      <c r="AY365"/>
      <c r="AZ365"/>
      <c r="BA365"/>
      <c r="BB365" s="173"/>
      <c r="BC365" s="173"/>
      <c r="BD365" s="173"/>
      <c r="BE365" s="173"/>
      <c r="BF365" s="173"/>
      <c r="BG365" s="173"/>
      <c r="BH365" s="173"/>
      <c r="BI365" s="173"/>
      <c r="BJ365" s="173"/>
      <c r="BK365" s="173"/>
      <c r="BL365" s="173"/>
      <c r="BM365" s="173"/>
      <c r="BN365"/>
      <c r="BO365"/>
      <c r="BP365"/>
      <c r="BQ365"/>
    </row>
    <row r="366" spans="2:69" ht="25" customHeight="1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 s="173"/>
      <c r="AQ366"/>
      <c r="AR366"/>
      <c r="AS366"/>
      <c r="AT366"/>
      <c r="AU366"/>
      <c r="AV366"/>
      <c r="AW366"/>
      <c r="AX366"/>
      <c r="AY366"/>
      <c r="AZ366"/>
      <c r="BA366"/>
      <c r="BB366" s="173"/>
      <c r="BC366" s="173"/>
      <c r="BD366" s="173"/>
      <c r="BE366" s="173"/>
      <c r="BF366" s="173"/>
      <c r="BG366" s="173"/>
      <c r="BH366" s="173"/>
      <c r="BI366" s="173"/>
      <c r="BJ366" s="173"/>
      <c r="BK366" s="173"/>
      <c r="BL366" s="173"/>
      <c r="BM366" s="173"/>
      <c r="BN366"/>
      <c r="BO366"/>
      <c r="BP366"/>
      <c r="BQ366"/>
    </row>
    <row r="367" spans="2:69" ht="25" customHeight="1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 s="173"/>
      <c r="AQ367"/>
      <c r="AR367"/>
      <c r="AS367"/>
      <c r="AT367"/>
      <c r="AU367"/>
      <c r="AV367"/>
      <c r="AW367"/>
      <c r="AX367"/>
      <c r="AY367"/>
      <c r="AZ367"/>
      <c r="BA367"/>
      <c r="BB367" s="173"/>
      <c r="BC367" s="173"/>
      <c r="BD367" s="173"/>
      <c r="BE367" s="173"/>
      <c r="BF367" s="173"/>
      <c r="BG367" s="173"/>
      <c r="BH367" s="173"/>
      <c r="BI367" s="173"/>
      <c r="BJ367" s="173"/>
      <c r="BK367" s="173"/>
      <c r="BL367" s="173"/>
      <c r="BM367" s="173"/>
      <c r="BN367"/>
      <c r="BO367"/>
      <c r="BP367"/>
      <c r="BQ367"/>
    </row>
    <row r="368" spans="2:69" ht="25" customHeight="1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 s="173"/>
      <c r="AQ368"/>
      <c r="AR368"/>
      <c r="AS368"/>
      <c r="AT368"/>
      <c r="AU368"/>
      <c r="AV368"/>
      <c r="AW368"/>
      <c r="AX368"/>
      <c r="AY368"/>
      <c r="AZ368"/>
      <c r="BA368"/>
      <c r="BB368" s="173"/>
      <c r="BC368" s="173"/>
      <c r="BD368" s="173"/>
      <c r="BE368" s="173"/>
      <c r="BF368" s="173"/>
      <c r="BG368" s="173"/>
      <c r="BH368" s="173"/>
      <c r="BI368" s="173"/>
      <c r="BJ368" s="173"/>
      <c r="BK368" s="173"/>
      <c r="BL368" s="173"/>
      <c r="BM368" s="173"/>
      <c r="BN368"/>
      <c r="BO368"/>
      <c r="BP368"/>
      <c r="BQ368"/>
    </row>
    <row r="369" spans="2:69" ht="25" customHeight="1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 s="173"/>
      <c r="AQ369"/>
      <c r="AR369"/>
      <c r="AS369"/>
      <c r="AT369"/>
      <c r="AU369"/>
      <c r="AV369"/>
      <c r="AW369"/>
      <c r="AX369"/>
      <c r="AY369"/>
      <c r="AZ369"/>
      <c r="BA369"/>
      <c r="BB369" s="173"/>
      <c r="BC369" s="173"/>
      <c r="BD369" s="173"/>
      <c r="BE369" s="173"/>
      <c r="BF369" s="173"/>
      <c r="BG369" s="173"/>
      <c r="BH369" s="173"/>
      <c r="BI369" s="173"/>
      <c r="BJ369" s="173"/>
      <c r="BK369" s="173"/>
      <c r="BL369" s="173"/>
      <c r="BM369" s="173"/>
      <c r="BN369"/>
      <c r="BO369"/>
      <c r="BP369"/>
      <c r="BQ369"/>
    </row>
    <row r="370" spans="2:69" ht="25" customHeight="1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 s="173"/>
      <c r="AQ370"/>
      <c r="AR370"/>
      <c r="AS370"/>
      <c r="AT370"/>
      <c r="AU370"/>
      <c r="AV370"/>
      <c r="AW370"/>
      <c r="AX370"/>
      <c r="AY370"/>
      <c r="AZ370"/>
      <c r="BA370"/>
      <c r="BB370" s="173"/>
      <c r="BC370" s="173"/>
      <c r="BD370" s="173"/>
      <c r="BE370" s="173"/>
      <c r="BF370" s="173"/>
      <c r="BG370" s="173"/>
      <c r="BH370" s="173"/>
      <c r="BI370" s="173"/>
      <c r="BJ370" s="173"/>
      <c r="BK370" s="173"/>
      <c r="BL370" s="173"/>
      <c r="BM370" s="173"/>
      <c r="BN370"/>
      <c r="BO370"/>
      <c r="BP370"/>
      <c r="BQ370"/>
    </row>
    <row r="371" spans="2:69" ht="25" customHeight="1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 s="173"/>
      <c r="AQ371"/>
      <c r="AR371"/>
      <c r="AS371"/>
      <c r="AT371"/>
      <c r="AU371"/>
      <c r="AV371"/>
      <c r="AW371"/>
      <c r="AX371"/>
      <c r="AY371"/>
      <c r="AZ371"/>
      <c r="BA371"/>
      <c r="BB371" s="173"/>
      <c r="BC371" s="173"/>
      <c r="BD371" s="173"/>
      <c r="BE371" s="173"/>
      <c r="BF371" s="173"/>
      <c r="BG371" s="173"/>
      <c r="BH371" s="173"/>
      <c r="BI371" s="173"/>
      <c r="BJ371" s="173"/>
      <c r="BK371" s="173"/>
      <c r="BL371" s="173"/>
      <c r="BM371" s="173"/>
      <c r="BN371"/>
      <c r="BO371"/>
      <c r="BP371"/>
      <c r="BQ371"/>
    </row>
    <row r="372" spans="2:69" ht="25" customHeight="1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 s="173"/>
      <c r="AQ372"/>
      <c r="AR372"/>
      <c r="AS372"/>
      <c r="AT372"/>
      <c r="AU372"/>
      <c r="AV372"/>
      <c r="AW372"/>
      <c r="AX372"/>
      <c r="AY372"/>
      <c r="AZ372"/>
      <c r="BA372"/>
      <c r="BB372" s="173"/>
      <c r="BC372" s="173"/>
      <c r="BD372" s="173"/>
      <c r="BE372" s="173"/>
      <c r="BF372" s="173"/>
      <c r="BG372" s="173"/>
      <c r="BH372" s="173"/>
      <c r="BI372" s="173"/>
      <c r="BJ372" s="173"/>
      <c r="BK372" s="173"/>
      <c r="BL372" s="173"/>
      <c r="BM372" s="173"/>
      <c r="BN372"/>
      <c r="BO372"/>
      <c r="BP372"/>
      <c r="BQ372"/>
    </row>
    <row r="373" spans="2:69" ht="25" customHeight="1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 s="173"/>
      <c r="AQ373"/>
      <c r="AR373"/>
      <c r="AS373"/>
      <c r="AT373"/>
      <c r="AU373"/>
      <c r="AV373"/>
      <c r="AW373"/>
      <c r="AX373"/>
      <c r="AY373"/>
      <c r="AZ373"/>
      <c r="BA373"/>
      <c r="BB373" s="173"/>
      <c r="BC373" s="173"/>
      <c r="BD373" s="173"/>
      <c r="BE373" s="173"/>
      <c r="BF373" s="173"/>
      <c r="BG373" s="173"/>
      <c r="BH373" s="173"/>
      <c r="BI373" s="173"/>
      <c r="BJ373" s="173"/>
      <c r="BK373" s="173"/>
      <c r="BL373" s="173"/>
      <c r="BM373" s="173"/>
      <c r="BN373"/>
      <c r="BO373"/>
      <c r="BP373"/>
      <c r="BQ373"/>
    </row>
    <row r="374" spans="2:69" ht="25" customHeight="1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 s="173"/>
      <c r="AQ374"/>
      <c r="AR374"/>
      <c r="AS374"/>
      <c r="AT374"/>
      <c r="AU374"/>
      <c r="AV374"/>
      <c r="AW374"/>
      <c r="AX374"/>
      <c r="AY374"/>
      <c r="AZ374"/>
      <c r="BA374"/>
      <c r="BB374" s="173"/>
      <c r="BC374" s="173"/>
      <c r="BD374" s="173"/>
      <c r="BE374" s="173"/>
      <c r="BF374" s="173"/>
      <c r="BG374" s="173"/>
      <c r="BH374" s="173"/>
      <c r="BI374" s="173"/>
      <c r="BJ374" s="173"/>
      <c r="BK374" s="173"/>
      <c r="BL374" s="173"/>
      <c r="BM374" s="173"/>
      <c r="BN374"/>
      <c r="BO374"/>
      <c r="BP374"/>
      <c r="BQ374"/>
    </row>
    <row r="375" spans="2:69" ht="25" customHeight="1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 s="173"/>
      <c r="AQ375"/>
      <c r="AR375"/>
      <c r="AS375"/>
      <c r="AT375"/>
      <c r="AU375"/>
      <c r="AV375"/>
      <c r="AW375"/>
      <c r="AX375"/>
      <c r="AY375"/>
      <c r="AZ375"/>
      <c r="BA375"/>
      <c r="BB375" s="173"/>
      <c r="BC375" s="173"/>
      <c r="BD375" s="173"/>
      <c r="BE375" s="173"/>
      <c r="BF375" s="173"/>
      <c r="BG375" s="173"/>
      <c r="BH375" s="173"/>
      <c r="BI375" s="173"/>
      <c r="BJ375" s="173"/>
      <c r="BK375" s="173"/>
      <c r="BL375" s="173"/>
      <c r="BM375" s="173"/>
      <c r="BN375"/>
      <c r="BO375"/>
      <c r="BP375"/>
      <c r="BQ375"/>
    </row>
    <row r="376" spans="2:69" ht="25" customHeight="1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 s="173"/>
      <c r="AQ376"/>
      <c r="AR376"/>
      <c r="AS376"/>
      <c r="AT376"/>
      <c r="AU376"/>
      <c r="AV376"/>
      <c r="AW376"/>
      <c r="AX376"/>
      <c r="AY376"/>
      <c r="AZ376"/>
      <c r="BA376"/>
      <c r="BB376" s="173"/>
      <c r="BC376" s="173"/>
      <c r="BD376" s="173"/>
      <c r="BE376" s="173"/>
      <c r="BF376" s="173"/>
      <c r="BG376" s="173"/>
      <c r="BH376" s="173"/>
      <c r="BI376" s="173"/>
      <c r="BJ376" s="173"/>
      <c r="BK376" s="173"/>
      <c r="BL376" s="173"/>
      <c r="BM376" s="173"/>
      <c r="BN376"/>
      <c r="BO376"/>
      <c r="BP376"/>
      <c r="BQ376"/>
    </row>
    <row r="377" spans="2:69" ht="25" customHeight="1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 s="173"/>
      <c r="AQ377"/>
      <c r="AR377"/>
      <c r="AS377"/>
      <c r="AT377"/>
      <c r="AU377"/>
      <c r="AV377"/>
      <c r="AW377"/>
      <c r="AX377"/>
      <c r="AY377"/>
      <c r="AZ377"/>
      <c r="BA377"/>
      <c r="BB377" s="173"/>
      <c r="BC377" s="173"/>
      <c r="BD377" s="173"/>
      <c r="BE377" s="173"/>
      <c r="BF377" s="173"/>
      <c r="BG377" s="173"/>
      <c r="BH377" s="173"/>
      <c r="BI377" s="173"/>
      <c r="BJ377" s="173"/>
      <c r="BK377" s="173"/>
      <c r="BL377" s="173"/>
      <c r="BM377" s="173"/>
      <c r="BN377"/>
      <c r="BO377"/>
      <c r="BP377"/>
      <c r="BQ377"/>
    </row>
    <row r="378" spans="2:69" ht="25" customHeight="1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 s="173"/>
      <c r="AQ378"/>
      <c r="AR378"/>
      <c r="AS378"/>
      <c r="AT378"/>
      <c r="AU378"/>
      <c r="AV378"/>
      <c r="AW378"/>
      <c r="AX378"/>
      <c r="AY378"/>
      <c r="AZ378"/>
      <c r="BA378"/>
      <c r="BB378" s="173"/>
      <c r="BC378" s="173"/>
      <c r="BD378" s="173"/>
      <c r="BE378" s="173"/>
      <c r="BF378" s="173"/>
      <c r="BG378" s="173"/>
      <c r="BH378" s="173"/>
      <c r="BI378" s="173"/>
      <c r="BJ378" s="173"/>
      <c r="BK378" s="173"/>
      <c r="BL378" s="173"/>
      <c r="BM378" s="173"/>
      <c r="BN378"/>
      <c r="BO378"/>
      <c r="BP378"/>
      <c r="BQ378"/>
    </row>
    <row r="379" spans="2:69" ht="25" customHeight="1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 s="173"/>
      <c r="AQ379"/>
      <c r="AR379"/>
      <c r="AS379"/>
      <c r="AT379"/>
      <c r="AU379"/>
      <c r="AV379"/>
      <c r="AW379"/>
      <c r="AX379"/>
      <c r="AY379"/>
      <c r="AZ379"/>
      <c r="BA379"/>
      <c r="BB379" s="173"/>
      <c r="BC379" s="173"/>
      <c r="BD379" s="173"/>
      <c r="BE379" s="173"/>
      <c r="BF379" s="173"/>
      <c r="BG379" s="173"/>
      <c r="BH379" s="173"/>
      <c r="BI379" s="173"/>
      <c r="BJ379" s="173"/>
      <c r="BK379" s="173"/>
      <c r="BL379" s="173"/>
      <c r="BM379" s="173"/>
      <c r="BN379"/>
      <c r="BO379"/>
      <c r="BP379"/>
      <c r="BQ379"/>
    </row>
    <row r="380" spans="2:69" ht="25" customHeight="1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 s="173"/>
      <c r="AQ380"/>
      <c r="AR380"/>
      <c r="AS380"/>
      <c r="AT380"/>
      <c r="AU380"/>
      <c r="AV380"/>
      <c r="AW380"/>
      <c r="AX380"/>
      <c r="AY380"/>
      <c r="AZ380"/>
      <c r="BA380"/>
      <c r="BB380" s="173"/>
      <c r="BC380" s="173"/>
      <c r="BD380" s="173"/>
      <c r="BE380" s="173"/>
      <c r="BF380" s="173"/>
      <c r="BG380" s="173"/>
      <c r="BH380" s="173"/>
      <c r="BI380" s="173"/>
      <c r="BJ380" s="173"/>
      <c r="BK380" s="173"/>
      <c r="BL380" s="173"/>
      <c r="BM380" s="173"/>
      <c r="BN380"/>
      <c r="BO380"/>
      <c r="BP380"/>
      <c r="BQ380"/>
    </row>
    <row r="381" spans="2:69" ht="25" customHeight="1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 s="173"/>
      <c r="AQ381"/>
      <c r="AR381"/>
      <c r="AS381"/>
      <c r="AT381"/>
      <c r="AU381"/>
      <c r="AV381"/>
      <c r="AW381"/>
      <c r="AX381"/>
      <c r="AY381"/>
      <c r="AZ381"/>
      <c r="BA381"/>
      <c r="BB381" s="173"/>
      <c r="BC381" s="173"/>
      <c r="BD381" s="173"/>
      <c r="BE381" s="173"/>
      <c r="BF381" s="173"/>
      <c r="BG381" s="173"/>
      <c r="BH381" s="173"/>
      <c r="BI381" s="173"/>
      <c r="BJ381" s="173"/>
      <c r="BK381" s="173"/>
      <c r="BL381" s="173"/>
      <c r="BM381" s="173"/>
      <c r="BN381"/>
      <c r="BO381"/>
      <c r="BP381"/>
      <c r="BQ381"/>
    </row>
    <row r="382" spans="2:69" ht="25" customHeight="1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 s="173"/>
      <c r="AQ382"/>
      <c r="AR382"/>
      <c r="AS382"/>
      <c r="AT382"/>
      <c r="AU382"/>
      <c r="AV382"/>
      <c r="AW382"/>
      <c r="AX382"/>
      <c r="AY382"/>
      <c r="AZ382"/>
      <c r="BA382"/>
      <c r="BB382" s="173"/>
      <c r="BC382" s="173"/>
      <c r="BD382" s="173"/>
      <c r="BE382" s="173"/>
      <c r="BF382" s="173"/>
      <c r="BG382" s="173"/>
      <c r="BH382" s="173"/>
      <c r="BI382" s="173"/>
      <c r="BJ382" s="173"/>
      <c r="BK382" s="173"/>
      <c r="BL382" s="173"/>
      <c r="BM382" s="173"/>
      <c r="BN382"/>
      <c r="BO382"/>
      <c r="BP382"/>
      <c r="BQ382"/>
    </row>
    <row r="383" spans="2:69" ht="25" customHeight="1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 s="173"/>
      <c r="AQ383"/>
      <c r="AR383"/>
      <c r="AS383"/>
      <c r="AT383"/>
      <c r="AU383"/>
      <c r="AV383"/>
      <c r="AW383"/>
      <c r="AX383"/>
      <c r="AY383"/>
      <c r="AZ383"/>
      <c r="BA383"/>
      <c r="BB383" s="173"/>
      <c r="BC383" s="173"/>
      <c r="BD383" s="173"/>
      <c r="BE383" s="173"/>
      <c r="BF383" s="173"/>
      <c r="BG383" s="173"/>
      <c r="BH383" s="173"/>
      <c r="BI383" s="173"/>
      <c r="BJ383" s="173"/>
      <c r="BK383" s="173"/>
      <c r="BL383" s="173"/>
      <c r="BM383" s="173"/>
      <c r="BN383"/>
      <c r="BO383"/>
      <c r="BP383"/>
      <c r="BQ383"/>
    </row>
    <row r="384" spans="2:69" ht="25" customHeight="1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 s="173"/>
      <c r="AQ384"/>
      <c r="AR384"/>
      <c r="AS384"/>
      <c r="AT384"/>
      <c r="AU384"/>
      <c r="AV384"/>
      <c r="AW384"/>
      <c r="AX384"/>
      <c r="AY384"/>
      <c r="AZ384"/>
      <c r="BA384"/>
      <c r="BB384" s="173"/>
      <c r="BC384" s="173"/>
      <c r="BD384" s="173"/>
      <c r="BE384" s="173"/>
      <c r="BF384" s="173"/>
      <c r="BG384" s="173"/>
      <c r="BH384" s="173"/>
      <c r="BI384" s="173"/>
      <c r="BJ384" s="173"/>
      <c r="BK384" s="173"/>
      <c r="BL384" s="173"/>
      <c r="BM384" s="173"/>
      <c r="BN384"/>
      <c r="BO384"/>
      <c r="BP384"/>
      <c r="BQ384"/>
    </row>
    <row r="385" spans="2:69" ht="25" customHeight="1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 s="173"/>
      <c r="AQ385"/>
      <c r="AR385"/>
      <c r="AS385"/>
      <c r="AT385"/>
      <c r="AU385"/>
      <c r="AV385"/>
      <c r="AW385"/>
      <c r="AX385"/>
      <c r="AY385"/>
      <c r="AZ385"/>
      <c r="BA385"/>
      <c r="BB385" s="173"/>
      <c r="BC385" s="173"/>
      <c r="BD385" s="173"/>
      <c r="BE385" s="173"/>
      <c r="BF385" s="173"/>
      <c r="BG385" s="173"/>
      <c r="BH385" s="173"/>
      <c r="BI385" s="173"/>
      <c r="BJ385" s="173"/>
      <c r="BK385" s="173"/>
      <c r="BL385" s="173"/>
      <c r="BM385" s="173"/>
      <c r="BN385"/>
      <c r="BO385"/>
      <c r="BP385"/>
      <c r="BQ385"/>
    </row>
    <row r="386" spans="2:69" ht="25" customHeight="1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 s="173"/>
      <c r="AQ386"/>
      <c r="AR386"/>
      <c r="AS386"/>
      <c r="AT386"/>
      <c r="AU386"/>
      <c r="AV386"/>
      <c r="AW386"/>
      <c r="AX386"/>
      <c r="AY386"/>
      <c r="AZ386"/>
      <c r="BA386"/>
      <c r="BB386" s="173"/>
      <c r="BC386" s="173"/>
      <c r="BD386" s="173"/>
      <c r="BE386" s="173"/>
      <c r="BF386" s="173"/>
      <c r="BG386" s="173"/>
      <c r="BH386" s="173"/>
      <c r="BI386" s="173"/>
      <c r="BJ386" s="173"/>
      <c r="BK386" s="173"/>
      <c r="BL386" s="173"/>
      <c r="BM386" s="173"/>
      <c r="BN386"/>
      <c r="BO386"/>
      <c r="BP386"/>
      <c r="BQ386"/>
    </row>
    <row r="387" spans="2:69" ht="25" customHeight="1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 s="173"/>
      <c r="AQ387"/>
      <c r="AR387"/>
      <c r="AS387"/>
      <c r="AT387"/>
      <c r="AU387"/>
      <c r="AV387"/>
      <c r="AW387"/>
      <c r="AX387"/>
      <c r="AY387"/>
      <c r="AZ387"/>
      <c r="BA387"/>
      <c r="BB387" s="173"/>
      <c r="BC387" s="173"/>
      <c r="BD387" s="173"/>
      <c r="BE387" s="173"/>
      <c r="BF387" s="173"/>
      <c r="BG387" s="173"/>
      <c r="BH387" s="173"/>
      <c r="BI387" s="173"/>
      <c r="BJ387" s="173"/>
      <c r="BK387" s="173"/>
      <c r="BL387" s="173"/>
      <c r="BM387" s="173"/>
      <c r="BN387"/>
      <c r="BO387"/>
      <c r="BP387"/>
      <c r="BQ387"/>
    </row>
    <row r="388" spans="2:69" ht="25" customHeight="1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 s="173"/>
      <c r="AQ388"/>
      <c r="AR388"/>
      <c r="AS388"/>
      <c r="AT388"/>
      <c r="AU388"/>
      <c r="AV388"/>
      <c r="AW388"/>
      <c r="AX388"/>
      <c r="AY388"/>
      <c r="AZ388"/>
      <c r="BA388"/>
      <c r="BB388" s="173"/>
      <c r="BC388" s="173"/>
      <c r="BD388" s="173"/>
      <c r="BE388" s="173"/>
      <c r="BF388" s="173"/>
      <c r="BG388" s="173"/>
      <c r="BH388" s="173"/>
      <c r="BI388" s="173"/>
      <c r="BJ388" s="173"/>
      <c r="BK388" s="173"/>
      <c r="BL388" s="173"/>
      <c r="BM388" s="173"/>
      <c r="BN388"/>
      <c r="BO388"/>
      <c r="BP388"/>
      <c r="BQ388"/>
    </row>
    <row r="389" spans="2:69" ht="25" customHeight="1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 s="173"/>
      <c r="AQ389"/>
      <c r="AR389"/>
      <c r="AS389"/>
      <c r="AT389"/>
      <c r="AU389"/>
      <c r="AV389"/>
      <c r="AW389"/>
      <c r="AX389"/>
      <c r="AY389"/>
      <c r="AZ389"/>
      <c r="BA389"/>
      <c r="BB389" s="173"/>
      <c r="BC389" s="173"/>
      <c r="BD389" s="173"/>
      <c r="BE389" s="173"/>
      <c r="BF389" s="173"/>
      <c r="BG389" s="173"/>
      <c r="BH389" s="173"/>
      <c r="BI389" s="173"/>
      <c r="BJ389" s="173"/>
      <c r="BK389" s="173"/>
      <c r="BL389" s="173"/>
      <c r="BM389" s="173"/>
      <c r="BN389"/>
      <c r="BO389"/>
      <c r="BP389"/>
      <c r="BQ389"/>
    </row>
    <row r="390" spans="2:69" ht="25" customHeight="1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 s="173"/>
      <c r="AQ390"/>
      <c r="AR390"/>
      <c r="AS390"/>
      <c r="AT390"/>
      <c r="AU390"/>
      <c r="AV390"/>
      <c r="AW390"/>
      <c r="AX390"/>
      <c r="AY390"/>
      <c r="AZ390"/>
      <c r="BA390"/>
      <c r="BB390" s="173"/>
      <c r="BC390" s="173"/>
      <c r="BD390" s="173"/>
      <c r="BE390" s="173"/>
      <c r="BF390" s="173"/>
      <c r="BG390" s="173"/>
      <c r="BH390" s="173"/>
      <c r="BI390" s="173"/>
      <c r="BJ390" s="173"/>
      <c r="BK390" s="173"/>
      <c r="BL390" s="173"/>
      <c r="BM390" s="173"/>
      <c r="BN390"/>
      <c r="BO390"/>
      <c r="BP390"/>
      <c r="BQ390"/>
    </row>
    <row r="391" spans="2:69" ht="25" customHeight="1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 s="173"/>
      <c r="AQ391"/>
      <c r="AR391"/>
      <c r="AS391"/>
      <c r="AT391"/>
      <c r="AU391"/>
      <c r="AV391"/>
      <c r="AW391"/>
      <c r="AX391"/>
      <c r="AY391"/>
      <c r="AZ391"/>
      <c r="BA391"/>
      <c r="BB391" s="173"/>
      <c r="BC391" s="173"/>
      <c r="BD391" s="173"/>
      <c r="BE391" s="173"/>
      <c r="BF391" s="173"/>
      <c r="BG391" s="173"/>
      <c r="BH391" s="173"/>
      <c r="BI391" s="173"/>
      <c r="BJ391" s="173"/>
      <c r="BK391" s="173"/>
      <c r="BL391" s="173"/>
      <c r="BM391" s="173"/>
      <c r="BN391"/>
      <c r="BO391"/>
      <c r="BP391"/>
      <c r="BQ391"/>
    </row>
    <row r="392" spans="2:69" ht="25" customHeight="1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 s="173"/>
      <c r="AQ392"/>
      <c r="AR392"/>
      <c r="AS392"/>
      <c r="AT392"/>
      <c r="AU392"/>
      <c r="AV392"/>
      <c r="AW392"/>
      <c r="AX392"/>
      <c r="AY392"/>
      <c r="AZ392"/>
      <c r="BA392"/>
      <c r="BB392" s="173"/>
      <c r="BC392" s="173"/>
      <c r="BD392" s="173"/>
      <c r="BE392" s="173"/>
      <c r="BF392" s="173"/>
      <c r="BG392" s="173"/>
      <c r="BH392" s="173"/>
      <c r="BI392" s="173"/>
      <c r="BJ392" s="173"/>
      <c r="BK392" s="173"/>
      <c r="BL392" s="173"/>
      <c r="BM392" s="173"/>
      <c r="BN392"/>
      <c r="BO392"/>
      <c r="BP392"/>
      <c r="BQ392"/>
    </row>
    <row r="393" spans="2:69" ht="25" customHeight="1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 s="173"/>
      <c r="AQ393"/>
      <c r="AR393"/>
      <c r="AS393"/>
      <c r="AT393"/>
      <c r="AU393"/>
      <c r="AV393"/>
      <c r="AW393"/>
      <c r="AX393"/>
      <c r="AY393"/>
      <c r="AZ393"/>
      <c r="BA393"/>
      <c r="BB393" s="173"/>
      <c r="BC393" s="173"/>
      <c r="BD393" s="173"/>
      <c r="BE393" s="173"/>
      <c r="BF393" s="173"/>
      <c r="BG393" s="173"/>
      <c r="BH393" s="173"/>
      <c r="BI393" s="173"/>
      <c r="BJ393" s="173"/>
      <c r="BK393" s="173"/>
      <c r="BL393" s="173"/>
      <c r="BM393" s="173"/>
      <c r="BN393"/>
      <c r="BO393"/>
      <c r="BP393"/>
      <c r="BQ393"/>
    </row>
    <row r="394" spans="2:69" ht="25" customHeight="1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 s="173"/>
      <c r="AQ394"/>
      <c r="AR394"/>
      <c r="AS394"/>
      <c r="AT394"/>
      <c r="AU394"/>
      <c r="AV394"/>
      <c r="AW394"/>
      <c r="AX394"/>
      <c r="AY394"/>
      <c r="AZ394"/>
      <c r="BA394"/>
      <c r="BB394" s="173"/>
      <c r="BC394" s="173"/>
      <c r="BD394" s="173"/>
      <c r="BE394" s="173"/>
      <c r="BF394" s="173"/>
      <c r="BG394" s="173"/>
      <c r="BH394" s="173"/>
      <c r="BI394" s="173"/>
      <c r="BJ394" s="173"/>
      <c r="BK394" s="173"/>
      <c r="BL394" s="173"/>
      <c r="BM394" s="173"/>
      <c r="BN394"/>
      <c r="BO394"/>
      <c r="BP394"/>
      <c r="BQ394"/>
    </row>
    <row r="395" spans="2:69" ht="25" customHeight="1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 s="173"/>
      <c r="AQ395"/>
      <c r="AR395"/>
      <c r="AS395"/>
      <c r="AT395"/>
      <c r="AU395"/>
      <c r="AV395"/>
      <c r="AW395"/>
      <c r="AX395"/>
      <c r="AY395"/>
      <c r="AZ395"/>
      <c r="BA395"/>
      <c r="BB395" s="173"/>
      <c r="BC395" s="173"/>
      <c r="BD395" s="173"/>
      <c r="BE395" s="173"/>
      <c r="BF395" s="173"/>
      <c r="BG395" s="173"/>
      <c r="BH395" s="173"/>
      <c r="BI395" s="173"/>
      <c r="BJ395" s="173"/>
      <c r="BK395" s="173"/>
      <c r="BL395" s="173"/>
      <c r="BM395" s="173"/>
      <c r="BN395"/>
      <c r="BO395"/>
      <c r="BP395"/>
      <c r="BQ395"/>
    </row>
    <row r="396" spans="2:69" ht="25" customHeight="1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 s="173"/>
      <c r="AQ396"/>
      <c r="AR396"/>
      <c r="AS396"/>
      <c r="AT396"/>
      <c r="AU396"/>
      <c r="AV396"/>
      <c r="AW396"/>
      <c r="AX396"/>
      <c r="AY396"/>
      <c r="AZ396"/>
      <c r="BA396"/>
      <c r="BB396" s="173"/>
      <c r="BC396" s="173"/>
      <c r="BD396" s="173"/>
      <c r="BE396" s="173"/>
      <c r="BF396" s="173"/>
      <c r="BG396" s="173"/>
      <c r="BH396" s="173"/>
      <c r="BI396" s="173"/>
      <c r="BJ396" s="173"/>
      <c r="BK396" s="173"/>
      <c r="BL396" s="173"/>
      <c r="BM396" s="173"/>
      <c r="BN396"/>
      <c r="BO396"/>
      <c r="BP396"/>
      <c r="BQ396"/>
    </row>
    <row r="397" spans="2:69" ht="25" customHeight="1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 s="173"/>
      <c r="AQ397"/>
      <c r="AR397"/>
      <c r="AS397"/>
      <c r="AT397"/>
      <c r="AU397"/>
      <c r="AV397"/>
      <c r="AW397"/>
      <c r="AX397"/>
      <c r="AY397"/>
      <c r="AZ397"/>
      <c r="BA397"/>
      <c r="BB397" s="173"/>
      <c r="BC397" s="173"/>
      <c r="BD397" s="173"/>
      <c r="BE397" s="173"/>
      <c r="BF397" s="173"/>
      <c r="BG397" s="173"/>
      <c r="BH397" s="173"/>
      <c r="BI397" s="173"/>
      <c r="BJ397" s="173"/>
      <c r="BK397" s="173"/>
      <c r="BL397" s="173"/>
      <c r="BM397" s="173"/>
      <c r="BN397"/>
      <c r="BO397"/>
      <c r="BP397"/>
      <c r="BQ397"/>
    </row>
    <row r="398" spans="2:69" ht="25" customHeight="1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 s="173"/>
      <c r="AQ398"/>
      <c r="AR398"/>
      <c r="AS398"/>
      <c r="AT398"/>
      <c r="AU398"/>
      <c r="AV398"/>
      <c r="AW398"/>
      <c r="AX398"/>
      <c r="AY398"/>
      <c r="AZ398"/>
      <c r="BA398"/>
      <c r="BB398" s="173"/>
      <c r="BC398" s="173"/>
      <c r="BD398" s="173"/>
      <c r="BE398" s="173"/>
      <c r="BF398" s="173"/>
      <c r="BG398" s="173"/>
      <c r="BH398" s="173"/>
      <c r="BI398" s="173"/>
      <c r="BJ398" s="173"/>
      <c r="BK398" s="173"/>
      <c r="BL398" s="173"/>
      <c r="BM398" s="173"/>
      <c r="BN398"/>
      <c r="BO398"/>
      <c r="BP398"/>
      <c r="BQ398"/>
    </row>
    <row r="399" spans="2:69" ht="25" customHeight="1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 s="173"/>
      <c r="AQ399"/>
      <c r="AR399"/>
      <c r="AS399"/>
      <c r="AT399"/>
      <c r="AU399"/>
      <c r="AV399"/>
      <c r="AW399"/>
      <c r="AX399"/>
      <c r="AY399"/>
      <c r="AZ399"/>
      <c r="BA399"/>
      <c r="BB399" s="173"/>
      <c r="BC399" s="173"/>
      <c r="BD399" s="173"/>
      <c r="BE399" s="173"/>
      <c r="BF399" s="173"/>
      <c r="BG399" s="173"/>
      <c r="BH399" s="173"/>
      <c r="BI399" s="173"/>
      <c r="BJ399" s="173"/>
      <c r="BK399" s="173"/>
      <c r="BL399" s="173"/>
      <c r="BM399" s="173"/>
      <c r="BN399"/>
      <c r="BO399"/>
      <c r="BP399"/>
      <c r="BQ399"/>
    </row>
    <row r="400" spans="2:69" ht="25" customHeight="1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 s="173"/>
      <c r="AQ400"/>
      <c r="AR400"/>
      <c r="AS400"/>
      <c r="AT400"/>
      <c r="AU400"/>
      <c r="AV400"/>
      <c r="AW400"/>
      <c r="AX400"/>
      <c r="AY400"/>
      <c r="AZ400"/>
      <c r="BA400"/>
      <c r="BB400" s="173"/>
      <c r="BC400" s="173"/>
      <c r="BD400" s="173"/>
      <c r="BE400" s="173"/>
      <c r="BF400" s="173"/>
      <c r="BG400" s="173"/>
      <c r="BH400" s="173"/>
      <c r="BI400" s="173"/>
      <c r="BJ400" s="173"/>
      <c r="BK400" s="173"/>
      <c r="BL400" s="173"/>
      <c r="BM400" s="173"/>
      <c r="BN400"/>
      <c r="BO400"/>
      <c r="BP400"/>
      <c r="BQ400"/>
    </row>
    <row r="401" spans="2:69" ht="25" customHeight="1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 s="173"/>
      <c r="AQ401"/>
      <c r="AR401"/>
      <c r="AS401"/>
      <c r="AT401"/>
      <c r="AU401"/>
      <c r="AV401"/>
      <c r="AW401"/>
      <c r="AX401"/>
      <c r="AY401"/>
      <c r="AZ401"/>
      <c r="BA401"/>
      <c r="BB401" s="173"/>
      <c r="BC401" s="173"/>
      <c r="BD401" s="173"/>
      <c r="BE401" s="173"/>
      <c r="BF401" s="173"/>
      <c r="BG401" s="173"/>
      <c r="BH401" s="173"/>
      <c r="BI401" s="173"/>
      <c r="BJ401" s="173"/>
      <c r="BK401" s="173"/>
      <c r="BL401" s="173"/>
      <c r="BM401" s="173"/>
      <c r="BN401"/>
      <c r="BO401"/>
      <c r="BP401"/>
      <c r="BQ401"/>
    </row>
    <row r="402" spans="2:69" ht="25" customHeight="1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 s="173"/>
      <c r="AQ402"/>
      <c r="AR402"/>
      <c r="AS402"/>
      <c r="AT402"/>
      <c r="AU402"/>
      <c r="AV402"/>
      <c r="AW402"/>
      <c r="AX402"/>
      <c r="AY402"/>
      <c r="AZ402"/>
      <c r="BA402"/>
      <c r="BB402" s="173"/>
      <c r="BC402" s="173"/>
      <c r="BD402" s="173"/>
      <c r="BE402" s="173"/>
      <c r="BF402" s="173"/>
      <c r="BG402" s="173"/>
      <c r="BH402" s="173"/>
      <c r="BI402" s="173"/>
      <c r="BJ402" s="173"/>
      <c r="BK402" s="173"/>
      <c r="BL402" s="173"/>
      <c r="BM402" s="173"/>
      <c r="BN402"/>
      <c r="BO402"/>
      <c r="BP402"/>
      <c r="BQ402"/>
    </row>
    <row r="403" spans="2:69" ht="25" customHeight="1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 s="173"/>
      <c r="AQ403"/>
      <c r="AR403"/>
      <c r="AS403"/>
      <c r="AT403"/>
      <c r="AU403"/>
      <c r="AV403"/>
      <c r="AW403"/>
      <c r="AX403"/>
      <c r="AY403"/>
      <c r="AZ403"/>
      <c r="BA403"/>
      <c r="BB403" s="173"/>
      <c r="BC403" s="173"/>
      <c r="BD403" s="173"/>
      <c r="BE403" s="173"/>
      <c r="BF403" s="173"/>
      <c r="BG403" s="173"/>
      <c r="BH403" s="173"/>
      <c r="BI403" s="173"/>
      <c r="BJ403" s="173"/>
      <c r="BK403" s="173"/>
      <c r="BL403" s="173"/>
      <c r="BM403" s="173"/>
      <c r="BN403"/>
      <c r="BO403"/>
      <c r="BP403"/>
      <c r="BQ403"/>
    </row>
    <row r="404" spans="2:69" ht="25" customHeight="1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 s="173"/>
      <c r="AQ404"/>
      <c r="AR404"/>
      <c r="AS404"/>
      <c r="AT404"/>
      <c r="AU404"/>
      <c r="AV404"/>
      <c r="AW404"/>
      <c r="AX404"/>
      <c r="AY404"/>
      <c r="AZ404"/>
      <c r="BA404"/>
      <c r="BB404" s="173"/>
      <c r="BC404" s="173"/>
      <c r="BD404" s="173"/>
      <c r="BE404" s="173"/>
      <c r="BF404" s="173"/>
      <c r="BG404" s="173"/>
      <c r="BH404" s="173"/>
      <c r="BI404" s="173"/>
      <c r="BJ404" s="173"/>
      <c r="BK404" s="173"/>
      <c r="BL404" s="173"/>
      <c r="BM404" s="173"/>
      <c r="BN404"/>
      <c r="BO404"/>
      <c r="BP404"/>
      <c r="BQ404"/>
    </row>
    <row r="405" spans="2:69" ht="25" customHeight="1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 s="173"/>
      <c r="AQ405"/>
      <c r="AR405"/>
      <c r="AS405"/>
      <c r="AT405"/>
      <c r="AU405"/>
      <c r="AV405"/>
      <c r="AW405"/>
      <c r="AX405"/>
      <c r="AY405"/>
      <c r="AZ405"/>
      <c r="BA405"/>
      <c r="BB405" s="173"/>
      <c r="BC405" s="173"/>
      <c r="BD405" s="173"/>
      <c r="BE405" s="173"/>
      <c r="BF405" s="173"/>
      <c r="BG405" s="173"/>
      <c r="BH405" s="173"/>
      <c r="BI405" s="173"/>
      <c r="BJ405" s="173"/>
      <c r="BK405" s="173"/>
      <c r="BL405" s="173"/>
      <c r="BM405" s="173"/>
      <c r="BN405"/>
      <c r="BO405"/>
      <c r="BP405"/>
      <c r="BQ405"/>
    </row>
    <row r="406" spans="2:69" ht="25" customHeight="1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 s="173"/>
      <c r="AQ406"/>
      <c r="AR406"/>
      <c r="AS406"/>
      <c r="AT406"/>
      <c r="AU406"/>
      <c r="AV406"/>
      <c r="AW406"/>
      <c r="AX406"/>
      <c r="AY406"/>
      <c r="AZ406"/>
      <c r="BA406"/>
      <c r="BB406" s="173"/>
      <c r="BC406" s="173"/>
      <c r="BD406" s="173"/>
      <c r="BE406" s="173"/>
      <c r="BF406" s="173"/>
      <c r="BG406" s="173"/>
      <c r="BH406" s="173"/>
      <c r="BI406" s="173"/>
      <c r="BJ406" s="173"/>
      <c r="BK406" s="173"/>
      <c r="BL406" s="173"/>
      <c r="BM406" s="173"/>
      <c r="BN406"/>
      <c r="BO406"/>
      <c r="BP406"/>
      <c r="BQ406"/>
    </row>
    <row r="407" spans="2:69" ht="25" customHeight="1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 s="173"/>
      <c r="AQ407"/>
      <c r="AR407"/>
      <c r="AS407"/>
      <c r="AT407"/>
      <c r="AU407"/>
      <c r="AV407"/>
      <c r="AW407"/>
      <c r="AX407"/>
      <c r="AY407"/>
      <c r="AZ407"/>
      <c r="BA407"/>
      <c r="BB407" s="173"/>
      <c r="BC407" s="173"/>
      <c r="BD407" s="173"/>
      <c r="BE407" s="173"/>
      <c r="BF407" s="173"/>
      <c r="BG407" s="173"/>
      <c r="BH407" s="173"/>
      <c r="BI407" s="173"/>
      <c r="BJ407" s="173"/>
      <c r="BK407" s="173"/>
      <c r="BL407" s="173"/>
      <c r="BM407" s="173"/>
      <c r="BN407"/>
      <c r="BO407"/>
      <c r="BP407"/>
      <c r="BQ407"/>
    </row>
    <row r="408" spans="2:69" ht="25" customHeight="1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 s="173"/>
      <c r="AQ408"/>
      <c r="AR408"/>
      <c r="AS408"/>
      <c r="AT408"/>
      <c r="AU408"/>
      <c r="AV408"/>
      <c r="AW408"/>
      <c r="AX408"/>
      <c r="AY408"/>
      <c r="AZ408"/>
      <c r="BA408"/>
      <c r="BB408" s="173"/>
      <c r="BC408" s="173"/>
      <c r="BD408" s="173"/>
      <c r="BE408" s="173"/>
      <c r="BF408" s="173"/>
      <c r="BG408" s="173"/>
      <c r="BH408" s="173"/>
      <c r="BI408" s="173"/>
      <c r="BJ408" s="173"/>
      <c r="BK408" s="173"/>
      <c r="BL408" s="173"/>
      <c r="BM408" s="173"/>
      <c r="BN408"/>
      <c r="BO408"/>
      <c r="BP408"/>
      <c r="BQ408"/>
    </row>
    <row r="409" spans="2:69" ht="25" customHeight="1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 s="173"/>
      <c r="AQ409"/>
      <c r="AR409"/>
      <c r="AS409"/>
      <c r="AT409"/>
      <c r="AU409"/>
      <c r="AV409"/>
      <c r="AW409"/>
      <c r="AX409"/>
      <c r="AY409"/>
      <c r="AZ409"/>
      <c r="BA409"/>
      <c r="BB409" s="173"/>
      <c r="BC409" s="173"/>
      <c r="BD409" s="173"/>
      <c r="BE409" s="173"/>
      <c r="BF409" s="173"/>
      <c r="BG409" s="173"/>
      <c r="BH409" s="173"/>
      <c r="BI409" s="173"/>
      <c r="BJ409" s="173"/>
      <c r="BK409" s="173"/>
      <c r="BL409" s="173"/>
      <c r="BM409" s="173"/>
      <c r="BN409"/>
      <c r="BO409"/>
      <c r="BP409"/>
      <c r="BQ409"/>
    </row>
    <row r="410" spans="2:69" ht="25" customHeight="1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 s="173"/>
      <c r="AQ410"/>
      <c r="AR410"/>
      <c r="AS410"/>
      <c r="AT410"/>
      <c r="AU410"/>
      <c r="AV410"/>
      <c r="AW410"/>
      <c r="AX410"/>
      <c r="AY410"/>
      <c r="AZ410"/>
      <c r="BA410"/>
      <c r="BB410" s="173"/>
      <c r="BC410" s="173"/>
      <c r="BD410" s="173"/>
      <c r="BE410" s="173"/>
      <c r="BF410" s="173"/>
      <c r="BG410" s="173"/>
      <c r="BH410" s="173"/>
      <c r="BI410" s="173"/>
      <c r="BJ410" s="173"/>
      <c r="BK410" s="173"/>
      <c r="BL410" s="173"/>
      <c r="BM410" s="173"/>
      <c r="BN410"/>
      <c r="BO410"/>
      <c r="BP410"/>
      <c r="BQ410"/>
    </row>
    <row r="411" spans="2:69" ht="25" customHeight="1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 s="173"/>
      <c r="AQ411"/>
      <c r="AR411"/>
      <c r="AS411"/>
      <c r="AT411"/>
      <c r="AU411"/>
      <c r="AV411"/>
      <c r="AW411"/>
      <c r="AX411"/>
      <c r="AY411"/>
      <c r="AZ411"/>
      <c r="BA411"/>
      <c r="BB411" s="173"/>
      <c r="BC411" s="173"/>
      <c r="BD411" s="173"/>
      <c r="BE411" s="173"/>
      <c r="BF411" s="173"/>
      <c r="BG411" s="173"/>
      <c r="BH411" s="173"/>
      <c r="BI411" s="173"/>
      <c r="BJ411" s="173"/>
      <c r="BK411" s="173"/>
      <c r="BL411" s="173"/>
      <c r="BM411" s="173"/>
      <c r="BN411"/>
      <c r="BO411"/>
      <c r="BP411"/>
      <c r="BQ411"/>
    </row>
    <row r="412" spans="2:69" ht="25" customHeight="1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 s="173"/>
      <c r="AQ412"/>
      <c r="AR412"/>
      <c r="AS412"/>
      <c r="AT412"/>
      <c r="AU412"/>
      <c r="AV412"/>
      <c r="AW412"/>
      <c r="AX412"/>
      <c r="AY412"/>
      <c r="AZ412"/>
      <c r="BA412"/>
      <c r="BB412" s="173"/>
      <c r="BC412" s="173"/>
      <c r="BD412" s="173"/>
      <c r="BE412" s="173"/>
      <c r="BF412" s="173"/>
      <c r="BG412" s="173"/>
      <c r="BH412" s="173"/>
      <c r="BI412" s="173"/>
      <c r="BJ412" s="173"/>
      <c r="BK412" s="173"/>
      <c r="BL412" s="173"/>
      <c r="BM412" s="173"/>
      <c r="BN412"/>
      <c r="BO412"/>
      <c r="BP412"/>
      <c r="BQ412"/>
    </row>
    <row r="413" spans="2:69" ht="25" customHeight="1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 s="173"/>
      <c r="AQ413"/>
      <c r="AR413"/>
      <c r="AS413"/>
      <c r="AT413"/>
      <c r="AU413"/>
      <c r="AV413"/>
      <c r="AW413"/>
      <c r="AX413"/>
      <c r="AY413"/>
      <c r="AZ413"/>
      <c r="BA413"/>
      <c r="BB413" s="173"/>
      <c r="BC413" s="173"/>
      <c r="BD413" s="173"/>
      <c r="BE413" s="173"/>
      <c r="BF413" s="173"/>
      <c r="BG413" s="173"/>
      <c r="BH413" s="173"/>
      <c r="BI413" s="173"/>
      <c r="BJ413" s="173"/>
      <c r="BK413" s="173"/>
      <c r="BL413" s="173"/>
      <c r="BM413" s="173"/>
      <c r="BN413"/>
      <c r="BO413"/>
      <c r="BP413"/>
      <c r="BQ413"/>
    </row>
    <row r="414" spans="2:69" ht="25" customHeight="1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 s="173"/>
      <c r="AQ414"/>
      <c r="AR414"/>
      <c r="AS414"/>
      <c r="AT414"/>
      <c r="AU414"/>
      <c r="AV414"/>
      <c r="AW414"/>
      <c r="AX414"/>
      <c r="AY414"/>
      <c r="AZ414"/>
      <c r="BA414"/>
      <c r="BB414" s="173"/>
      <c r="BC414" s="173"/>
      <c r="BD414" s="173"/>
      <c r="BE414" s="173"/>
      <c r="BF414" s="173"/>
      <c r="BG414" s="173"/>
      <c r="BH414" s="173"/>
      <c r="BI414" s="173"/>
      <c r="BJ414" s="173"/>
      <c r="BK414" s="173"/>
      <c r="BL414" s="173"/>
      <c r="BM414" s="173"/>
      <c r="BN414"/>
      <c r="BO414"/>
      <c r="BP414"/>
      <c r="BQ414"/>
    </row>
    <row r="415" spans="2:69" ht="25" customHeight="1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 s="173"/>
      <c r="AQ415"/>
      <c r="AR415"/>
      <c r="AS415"/>
      <c r="AT415"/>
      <c r="AU415"/>
      <c r="AV415"/>
      <c r="AW415"/>
      <c r="AX415"/>
      <c r="AY415"/>
      <c r="AZ415"/>
      <c r="BA415"/>
      <c r="BB415" s="173"/>
      <c r="BC415" s="173"/>
      <c r="BD415" s="173"/>
      <c r="BE415" s="173"/>
      <c r="BF415" s="173"/>
      <c r="BG415" s="173"/>
      <c r="BH415" s="173"/>
      <c r="BI415" s="173"/>
      <c r="BJ415" s="173"/>
      <c r="BK415" s="173"/>
      <c r="BL415" s="173"/>
      <c r="BM415" s="173"/>
      <c r="BN415"/>
      <c r="BO415"/>
      <c r="BP415"/>
      <c r="BQ415"/>
    </row>
    <row r="416" spans="2:69" ht="25" customHeight="1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 s="173"/>
      <c r="AQ416"/>
      <c r="AR416"/>
      <c r="AS416"/>
      <c r="AT416"/>
      <c r="AU416"/>
      <c r="AV416"/>
      <c r="AW416"/>
      <c r="AX416"/>
      <c r="AY416"/>
      <c r="AZ416"/>
      <c r="BA416"/>
      <c r="BB416" s="173"/>
      <c r="BC416" s="173"/>
      <c r="BD416" s="173"/>
      <c r="BE416" s="173"/>
      <c r="BF416" s="173"/>
      <c r="BG416" s="173"/>
      <c r="BH416" s="173"/>
      <c r="BI416" s="173"/>
      <c r="BJ416" s="173"/>
      <c r="BK416" s="173"/>
      <c r="BL416" s="173"/>
      <c r="BM416" s="173"/>
      <c r="BN416"/>
      <c r="BO416"/>
      <c r="BP416"/>
      <c r="BQ416"/>
    </row>
    <row r="417" spans="2:69" ht="25" customHeight="1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 s="173"/>
      <c r="AQ417"/>
      <c r="AR417"/>
      <c r="AS417"/>
      <c r="AT417"/>
      <c r="AU417"/>
      <c r="AV417"/>
      <c r="AW417"/>
      <c r="AX417"/>
      <c r="AY417"/>
      <c r="AZ417"/>
      <c r="BA417"/>
      <c r="BB417" s="173"/>
      <c r="BC417" s="173"/>
      <c r="BD417" s="173"/>
      <c r="BE417" s="173"/>
      <c r="BF417" s="173"/>
      <c r="BG417" s="173"/>
      <c r="BH417" s="173"/>
      <c r="BI417" s="173"/>
      <c r="BJ417" s="173"/>
      <c r="BK417" s="173"/>
      <c r="BL417" s="173"/>
      <c r="BM417" s="173"/>
      <c r="BN417"/>
      <c r="BO417"/>
      <c r="BP417"/>
      <c r="BQ417"/>
    </row>
    <row r="418" spans="2:69" ht="25" customHeight="1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 s="173"/>
      <c r="AQ418"/>
      <c r="AR418"/>
      <c r="AS418"/>
      <c r="AT418"/>
      <c r="AU418"/>
      <c r="AV418"/>
      <c r="AW418"/>
      <c r="AX418"/>
      <c r="AY418"/>
      <c r="AZ418"/>
      <c r="BA418"/>
      <c r="BB418" s="173"/>
      <c r="BC418" s="173"/>
      <c r="BD418" s="173"/>
      <c r="BE418" s="173"/>
      <c r="BF418" s="173"/>
      <c r="BG418" s="173"/>
      <c r="BH418" s="173"/>
      <c r="BI418" s="173"/>
      <c r="BJ418" s="173"/>
      <c r="BK418" s="173"/>
      <c r="BL418" s="173"/>
      <c r="BM418" s="173"/>
      <c r="BN418"/>
      <c r="BO418"/>
      <c r="BP418"/>
      <c r="BQ418"/>
    </row>
    <row r="419" spans="2:69" ht="25" customHeight="1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 s="173"/>
      <c r="AQ419"/>
      <c r="AR419"/>
      <c r="AS419"/>
      <c r="AT419"/>
      <c r="AU419"/>
      <c r="AV419"/>
      <c r="AW419"/>
      <c r="AX419"/>
      <c r="AY419"/>
      <c r="AZ419"/>
      <c r="BA419"/>
      <c r="BB419" s="173"/>
      <c r="BC419" s="173"/>
      <c r="BD419" s="173"/>
      <c r="BE419" s="173"/>
      <c r="BF419" s="173"/>
      <c r="BG419" s="173"/>
      <c r="BH419" s="173"/>
      <c r="BI419" s="173"/>
      <c r="BJ419" s="173"/>
      <c r="BK419" s="173"/>
      <c r="BL419" s="173"/>
      <c r="BM419" s="173"/>
      <c r="BN419"/>
      <c r="BO419"/>
      <c r="BP419"/>
      <c r="BQ419"/>
    </row>
    <row r="420" spans="2:69" ht="25" customHeight="1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 s="173"/>
      <c r="AQ420"/>
      <c r="AR420"/>
      <c r="AS420"/>
      <c r="AT420"/>
      <c r="AU420"/>
      <c r="AV420"/>
      <c r="AW420"/>
      <c r="AX420"/>
      <c r="AY420"/>
      <c r="AZ420"/>
      <c r="BA420"/>
      <c r="BB420" s="173"/>
      <c r="BC420" s="173"/>
      <c r="BD420" s="173"/>
      <c r="BE420" s="173"/>
      <c r="BF420" s="173"/>
      <c r="BG420" s="173"/>
      <c r="BH420" s="173"/>
      <c r="BI420" s="173"/>
      <c r="BJ420" s="173"/>
      <c r="BK420" s="173"/>
      <c r="BL420" s="173"/>
      <c r="BM420" s="173"/>
      <c r="BN420"/>
      <c r="BO420"/>
      <c r="BP420"/>
      <c r="BQ420"/>
    </row>
    <row r="421" spans="2:69" ht="25" customHeight="1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 s="173"/>
      <c r="AQ421"/>
      <c r="AR421"/>
      <c r="AS421"/>
      <c r="AT421"/>
      <c r="AU421"/>
      <c r="AV421"/>
      <c r="AW421"/>
      <c r="AX421"/>
      <c r="AY421"/>
      <c r="AZ421"/>
      <c r="BA421"/>
      <c r="BB421" s="173"/>
      <c r="BC421" s="173"/>
      <c r="BD421" s="173"/>
      <c r="BE421" s="173"/>
      <c r="BF421" s="173"/>
      <c r="BG421" s="173"/>
      <c r="BH421" s="173"/>
      <c r="BI421" s="173"/>
      <c r="BJ421" s="173"/>
      <c r="BK421" s="173"/>
      <c r="BL421" s="173"/>
      <c r="BM421" s="173"/>
      <c r="BN421"/>
      <c r="BO421"/>
      <c r="BP421"/>
      <c r="BQ421"/>
    </row>
    <row r="422" spans="2:69" ht="25" customHeight="1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 s="173"/>
      <c r="AQ422"/>
      <c r="AR422"/>
      <c r="AS422"/>
      <c r="AT422"/>
      <c r="AU422"/>
      <c r="AV422"/>
      <c r="AW422"/>
      <c r="AX422"/>
      <c r="AY422"/>
      <c r="AZ422"/>
      <c r="BA422"/>
      <c r="BB422" s="173"/>
      <c r="BC422" s="173"/>
      <c r="BD422" s="173"/>
      <c r="BE422" s="173"/>
      <c r="BF422" s="173"/>
      <c r="BG422" s="173"/>
      <c r="BH422" s="173"/>
      <c r="BI422" s="173"/>
      <c r="BJ422" s="173"/>
      <c r="BK422" s="173"/>
      <c r="BL422" s="173"/>
      <c r="BM422" s="173"/>
      <c r="BN422"/>
      <c r="BO422"/>
      <c r="BP422"/>
      <c r="BQ422"/>
    </row>
    <row r="423" spans="2:69" ht="25" customHeight="1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 s="173"/>
      <c r="AQ423"/>
      <c r="AR423"/>
      <c r="AS423"/>
      <c r="AT423"/>
      <c r="AU423"/>
      <c r="AV423"/>
      <c r="AW423"/>
      <c r="AX423"/>
      <c r="AY423"/>
      <c r="AZ423"/>
      <c r="BA423"/>
      <c r="BB423" s="173"/>
      <c r="BC423" s="173"/>
      <c r="BD423" s="173"/>
      <c r="BE423" s="173"/>
      <c r="BF423" s="173"/>
      <c r="BG423" s="173"/>
      <c r="BH423" s="173"/>
      <c r="BI423" s="173"/>
      <c r="BJ423" s="173"/>
      <c r="BK423" s="173"/>
      <c r="BL423" s="173"/>
      <c r="BM423" s="173"/>
      <c r="BN423"/>
      <c r="BO423"/>
      <c r="BP423"/>
      <c r="BQ423"/>
    </row>
    <row r="424" spans="2:69" ht="25" customHeight="1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 s="173"/>
      <c r="AQ424"/>
      <c r="AR424"/>
      <c r="AS424"/>
      <c r="AT424"/>
      <c r="AU424"/>
      <c r="AV424"/>
      <c r="AW424"/>
      <c r="AX424"/>
      <c r="AY424"/>
      <c r="AZ424"/>
      <c r="BA424"/>
      <c r="BB424" s="173"/>
      <c r="BC424" s="173"/>
      <c r="BD424" s="173"/>
      <c r="BE424" s="173"/>
      <c r="BF424" s="173"/>
      <c r="BG424" s="173"/>
      <c r="BH424" s="173"/>
      <c r="BI424" s="173"/>
      <c r="BJ424" s="173"/>
      <c r="BK424" s="173"/>
      <c r="BL424" s="173"/>
      <c r="BM424" s="173"/>
      <c r="BN424"/>
      <c r="BO424"/>
      <c r="BP424"/>
      <c r="BQ424"/>
    </row>
    <row r="425" spans="2:69" ht="25" customHeight="1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 s="173"/>
      <c r="AQ425"/>
      <c r="AR425"/>
      <c r="AS425"/>
      <c r="AT425"/>
      <c r="AU425"/>
      <c r="AV425"/>
      <c r="AW425"/>
      <c r="AX425"/>
      <c r="AY425"/>
      <c r="AZ425"/>
      <c r="BA425"/>
      <c r="BB425" s="173"/>
      <c r="BC425" s="173"/>
      <c r="BD425" s="173"/>
      <c r="BE425" s="173"/>
      <c r="BF425" s="173"/>
      <c r="BG425" s="173"/>
      <c r="BH425" s="173"/>
      <c r="BI425" s="173"/>
      <c r="BJ425" s="173"/>
      <c r="BK425" s="173"/>
      <c r="BL425" s="173"/>
      <c r="BM425" s="173"/>
      <c r="BN425"/>
      <c r="BO425"/>
      <c r="BP425"/>
      <c r="BQ425"/>
    </row>
    <row r="426" spans="2:69" ht="25" customHeight="1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 s="173"/>
      <c r="AQ426"/>
      <c r="AR426"/>
      <c r="AS426"/>
      <c r="AT426"/>
      <c r="AU426"/>
      <c r="AV426"/>
      <c r="AW426"/>
      <c r="AX426"/>
      <c r="AY426"/>
      <c r="AZ426"/>
      <c r="BA426"/>
      <c r="BB426" s="173"/>
      <c r="BC426" s="173"/>
      <c r="BD426" s="173"/>
      <c r="BE426" s="173"/>
      <c r="BF426" s="173"/>
      <c r="BG426" s="173"/>
      <c r="BH426" s="173"/>
      <c r="BI426" s="173"/>
      <c r="BJ426" s="173"/>
      <c r="BK426" s="173"/>
      <c r="BL426" s="173"/>
      <c r="BM426" s="173"/>
      <c r="BN426"/>
      <c r="BO426"/>
      <c r="BP426"/>
      <c r="BQ426"/>
    </row>
    <row r="427" spans="2:69" ht="25" customHeight="1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 s="173"/>
      <c r="AQ427"/>
      <c r="AR427"/>
      <c r="AS427"/>
      <c r="AT427"/>
      <c r="AU427"/>
      <c r="AV427"/>
      <c r="AW427"/>
      <c r="AX427"/>
      <c r="AY427"/>
      <c r="AZ427"/>
      <c r="BA427"/>
      <c r="BB427" s="173"/>
      <c r="BC427" s="173"/>
      <c r="BD427" s="173"/>
      <c r="BE427" s="173"/>
      <c r="BF427" s="173"/>
      <c r="BG427" s="173"/>
      <c r="BH427" s="173"/>
      <c r="BI427" s="173"/>
      <c r="BJ427" s="173"/>
      <c r="BK427" s="173"/>
      <c r="BL427" s="173"/>
      <c r="BM427" s="173"/>
      <c r="BN427"/>
      <c r="BO427"/>
      <c r="BP427"/>
      <c r="BQ427"/>
    </row>
    <row r="428" spans="2:69" ht="25" customHeight="1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 s="173"/>
      <c r="AQ428"/>
      <c r="AR428"/>
      <c r="AS428"/>
      <c r="AT428"/>
      <c r="AU428"/>
      <c r="AV428"/>
      <c r="AW428"/>
      <c r="AX428"/>
      <c r="AY428"/>
      <c r="AZ428"/>
      <c r="BA428"/>
      <c r="BB428" s="173"/>
      <c r="BC428" s="173"/>
      <c r="BD428" s="173"/>
      <c r="BE428" s="173"/>
      <c r="BF428" s="173"/>
      <c r="BG428" s="173"/>
      <c r="BH428" s="173"/>
      <c r="BI428" s="173"/>
      <c r="BJ428" s="173"/>
      <c r="BK428" s="173"/>
      <c r="BL428" s="173"/>
      <c r="BM428" s="173"/>
      <c r="BN428"/>
      <c r="BO428"/>
      <c r="BP428"/>
      <c r="BQ428"/>
    </row>
    <row r="429" spans="2:69" ht="25" customHeight="1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 s="173"/>
      <c r="AQ429"/>
      <c r="AR429"/>
      <c r="AS429"/>
      <c r="AT429"/>
      <c r="AU429"/>
      <c r="AV429"/>
      <c r="AW429"/>
      <c r="AX429"/>
      <c r="AY429"/>
      <c r="AZ429"/>
      <c r="BA429"/>
      <c r="BB429" s="173"/>
      <c r="BC429" s="173"/>
      <c r="BD429" s="173"/>
      <c r="BE429" s="173"/>
      <c r="BF429" s="173"/>
      <c r="BG429" s="173"/>
      <c r="BH429" s="173"/>
      <c r="BI429" s="173"/>
      <c r="BJ429" s="173"/>
      <c r="BK429" s="173"/>
      <c r="BL429" s="173"/>
      <c r="BM429" s="173"/>
      <c r="BN429"/>
      <c r="BO429"/>
      <c r="BP429"/>
      <c r="BQ429"/>
    </row>
    <row r="430" spans="2:69" ht="25" customHeight="1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 s="173"/>
      <c r="AQ430"/>
      <c r="AR430"/>
      <c r="AS430"/>
      <c r="AT430"/>
      <c r="AU430"/>
      <c r="AV430"/>
      <c r="AW430"/>
      <c r="AX430"/>
      <c r="AY430"/>
      <c r="AZ430"/>
      <c r="BA430"/>
      <c r="BB430" s="173"/>
      <c r="BC430" s="173"/>
      <c r="BD430" s="173"/>
      <c r="BE430" s="173"/>
      <c r="BF430" s="173"/>
      <c r="BG430" s="173"/>
      <c r="BH430" s="173"/>
      <c r="BI430" s="173"/>
      <c r="BJ430" s="173"/>
      <c r="BK430" s="173"/>
      <c r="BL430" s="173"/>
      <c r="BM430" s="173"/>
      <c r="BN430"/>
      <c r="BO430"/>
      <c r="BP430"/>
      <c r="BQ430"/>
    </row>
    <row r="431" spans="2:69" ht="25" customHeight="1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 s="173"/>
      <c r="AQ431"/>
      <c r="AR431"/>
      <c r="AS431"/>
      <c r="AT431"/>
      <c r="AU431"/>
      <c r="AV431"/>
      <c r="AW431"/>
      <c r="AX431"/>
      <c r="AY431"/>
      <c r="AZ431"/>
      <c r="BA431"/>
      <c r="BB431" s="173"/>
      <c r="BC431" s="173"/>
      <c r="BD431" s="173"/>
      <c r="BE431" s="173"/>
      <c r="BF431" s="173"/>
      <c r="BG431" s="173"/>
      <c r="BH431" s="173"/>
      <c r="BI431" s="173"/>
      <c r="BJ431" s="173"/>
      <c r="BK431" s="173"/>
      <c r="BL431" s="173"/>
      <c r="BM431" s="173"/>
      <c r="BN431"/>
      <c r="BO431"/>
      <c r="BP431"/>
      <c r="BQ431"/>
    </row>
    <row r="432" spans="2:69" ht="25" customHeight="1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 s="173"/>
      <c r="AQ432"/>
      <c r="AR432"/>
      <c r="AS432"/>
      <c r="AT432"/>
      <c r="AU432"/>
      <c r="AV432"/>
      <c r="AW432"/>
      <c r="AX432"/>
      <c r="AY432"/>
      <c r="AZ432"/>
      <c r="BA432"/>
      <c r="BB432" s="173"/>
      <c r="BC432" s="173"/>
      <c r="BD432" s="173"/>
      <c r="BE432" s="173"/>
      <c r="BF432" s="173"/>
      <c r="BG432" s="173"/>
      <c r="BH432" s="173"/>
      <c r="BI432" s="173"/>
      <c r="BJ432" s="173"/>
      <c r="BK432" s="173"/>
      <c r="BL432" s="173"/>
      <c r="BM432" s="173"/>
      <c r="BN432"/>
      <c r="BO432"/>
      <c r="BP432"/>
      <c r="BQ432"/>
    </row>
    <row r="433" spans="2:69" ht="25" customHeight="1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 s="173"/>
      <c r="AQ433"/>
      <c r="AR433"/>
      <c r="AS433"/>
      <c r="AT433"/>
      <c r="AU433"/>
      <c r="AV433"/>
      <c r="AW433"/>
      <c r="AX433"/>
      <c r="AY433"/>
      <c r="AZ433"/>
      <c r="BA433"/>
      <c r="BB433" s="173"/>
      <c r="BC433" s="173"/>
      <c r="BD433" s="173"/>
      <c r="BE433" s="173"/>
      <c r="BF433" s="173"/>
      <c r="BG433" s="173"/>
      <c r="BH433" s="173"/>
      <c r="BI433" s="173"/>
      <c r="BJ433" s="173"/>
      <c r="BK433" s="173"/>
      <c r="BL433" s="173"/>
      <c r="BM433" s="173"/>
      <c r="BN433"/>
      <c r="BO433"/>
      <c r="BP433"/>
      <c r="BQ433"/>
    </row>
    <row r="434" spans="2:69" ht="25" customHeight="1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 s="173"/>
      <c r="AQ434"/>
      <c r="AR434"/>
      <c r="AS434"/>
      <c r="AT434"/>
      <c r="AU434"/>
      <c r="AV434"/>
      <c r="AW434"/>
      <c r="AX434"/>
      <c r="AY434"/>
      <c r="AZ434"/>
      <c r="BA434"/>
      <c r="BB434" s="173"/>
      <c r="BC434" s="173"/>
      <c r="BD434" s="173"/>
      <c r="BE434" s="173"/>
      <c r="BF434" s="173"/>
      <c r="BG434" s="173"/>
      <c r="BH434" s="173"/>
      <c r="BI434" s="173"/>
      <c r="BJ434" s="173"/>
      <c r="BK434" s="173"/>
      <c r="BL434" s="173"/>
      <c r="BM434" s="173"/>
      <c r="BN434"/>
      <c r="BO434"/>
      <c r="BP434"/>
      <c r="BQ434"/>
    </row>
    <row r="435" spans="2:69" ht="25" customHeight="1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 s="173"/>
      <c r="AQ435"/>
      <c r="AR435"/>
      <c r="AS435"/>
      <c r="AT435"/>
      <c r="AU435"/>
      <c r="AV435"/>
      <c r="AW435"/>
      <c r="AX435"/>
      <c r="AY435"/>
      <c r="AZ435"/>
      <c r="BA435"/>
      <c r="BB435" s="173"/>
      <c r="BC435" s="173"/>
      <c r="BD435" s="173"/>
      <c r="BE435" s="173"/>
      <c r="BF435" s="173"/>
      <c r="BG435" s="173"/>
      <c r="BH435" s="173"/>
      <c r="BI435" s="173"/>
      <c r="BJ435" s="173"/>
      <c r="BK435" s="173"/>
      <c r="BL435" s="173"/>
      <c r="BM435" s="173"/>
      <c r="BN435"/>
      <c r="BO435"/>
      <c r="BP435"/>
      <c r="BQ435"/>
    </row>
    <row r="436" spans="2:69" ht="25" customHeight="1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 s="173"/>
      <c r="AQ436"/>
      <c r="AR436"/>
      <c r="AS436"/>
      <c r="AT436"/>
      <c r="AU436"/>
      <c r="AV436"/>
      <c r="AW436"/>
      <c r="AX436"/>
      <c r="AY436"/>
      <c r="AZ436"/>
      <c r="BA436"/>
      <c r="BB436" s="173"/>
      <c r="BC436" s="173"/>
      <c r="BD436" s="173"/>
      <c r="BE436" s="173"/>
      <c r="BF436" s="173"/>
      <c r="BG436" s="173"/>
      <c r="BH436" s="173"/>
      <c r="BI436" s="173"/>
      <c r="BJ436" s="173"/>
      <c r="BK436" s="173"/>
      <c r="BL436" s="173"/>
      <c r="BM436" s="173"/>
      <c r="BN436"/>
      <c r="BO436"/>
      <c r="BP436"/>
      <c r="BQ436"/>
    </row>
    <row r="437" spans="2:69" ht="25" customHeight="1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 s="173"/>
      <c r="AQ437"/>
      <c r="AR437"/>
      <c r="AS437"/>
      <c r="AT437"/>
      <c r="AU437"/>
      <c r="AV437"/>
      <c r="AW437"/>
      <c r="AX437"/>
      <c r="AY437"/>
      <c r="AZ437"/>
      <c r="BA437"/>
      <c r="BB437" s="173"/>
      <c r="BC437" s="173"/>
      <c r="BD437" s="173"/>
      <c r="BE437" s="173"/>
      <c r="BF437" s="173"/>
      <c r="BG437" s="173"/>
      <c r="BH437" s="173"/>
      <c r="BI437" s="173"/>
      <c r="BJ437" s="173"/>
      <c r="BK437" s="173"/>
      <c r="BL437" s="173"/>
      <c r="BM437" s="173"/>
      <c r="BN437"/>
      <c r="BO437"/>
      <c r="BP437"/>
      <c r="BQ437"/>
    </row>
    <row r="438" spans="2:69" ht="25" customHeight="1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 s="173"/>
      <c r="AQ438"/>
      <c r="AR438"/>
      <c r="AS438"/>
      <c r="AT438"/>
      <c r="AU438"/>
      <c r="AV438"/>
      <c r="AW438"/>
      <c r="AX438"/>
      <c r="AY438"/>
      <c r="AZ438"/>
      <c r="BA438"/>
      <c r="BB438" s="173"/>
      <c r="BC438" s="173"/>
      <c r="BD438" s="173"/>
      <c r="BE438" s="173"/>
      <c r="BF438" s="173"/>
      <c r="BG438" s="173"/>
      <c r="BH438" s="173"/>
      <c r="BI438" s="173"/>
      <c r="BJ438" s="173"/>
      <c r="BK438" s="173"/>
      <c r="BL438" s="173"/>
      <c r="BM438" s="173"/>
      <c r="BN438"/>
      <c r="BO438"/>
      <c r="BP438"/>
      <c r="BQ438"/>
    </row>
    <row r="439" spans="2:69" ht="25" customHeight="1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 s="173"/>
      <c r="AQ439"/>
      <c r="AR439"/>
      <c r="AS439"/>
      <c r="AT439"/>
      <c r="AU439"/>
      <c r="AV439"/>
      <c r="AW439"/>
      <c r="AX439"/>
      <c r="AY439"/>
      <c r="AZ439"/>
      <c r="BA439"/>
      <c r="BB439" s="173"/>
      <c r="BC439" s="173"/>
      <c r="BD439" s="173"/>
      <c r="BE439" s="173"/>
      <c r="BF439" s="173"/>
      <c r="BG439" s="173"/>
      <c r="BH439" s="173"/>
      <c r="BI439" s="173"/>
      <c r="BJ439" s="173"/>
      <c r="BK439" s="173"/>
      <c r="BL439" s="173"/>
      <c r="BM439" s="173"/>
      <c r="BN439"/>
      <c r="BO439"/>
      <c r="BP439"/>
      <c r="BQ439"/>
    </row>
    <row r="440" spans="2:69" ht="25" customHeight="1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 s="173"/>
      <c r="AQ440"/>
      <c r="AR440"/>
      <c r="AS440"/>
      <c r="AT440"/>
      <c r="AU440"/>
      <c r="AV440"/>
      <c r="AW440"/>
      <c r="AX440"/>
      <c r="AY440"/>
      <c r="AZ440"/>
      <c r="BA440"/>
      <c r="BB440" s="173"/>
      <c r="BC440" s="173"/>
      <c r="BD440" s="173"/>
      <c r="BE440" s="173"/>
      <c r="BF440" s="173"/>
      <c r="BG440" s="173"/>
      <c r="BH440" s="173"/>
      <c r="BI440" s="173"/>
      <c r="BJ440" s="173"/>
      <c r="BK440" s="173"/>
      <c r="BL440" s="173"/>
      <c r="BM440" s="173"/>
      <c r="BN440"/>
      <c r="BO440"/>
      <c r="BP440"/>
      <c r="BQ440"/>
    </row>
    <row r="441" spans="2:69" ht="25" customHeight="1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 s="173"/>
      <c r="AQ441"/>
      <c r="AR441"/>
      <c r="AS441"/>
      <c r="AT441"/>
      <c r="AU441"/>
      <c r="AV441"/>
      <c r="AW441"/>
      <c r="AX441"/>
      <c r="AY441"/>
      <c r="AZ441"/>
      <c r="BA441"/>
      <c r="BB441" s="173"/>
      <c r="BC441" s="173"/>
      <c r="BD441" s="173"/>
      <c r="BE441" s="173"/>
      <c r="BF441" s="173"/>
      <c r="BG441" s="173"/>
      <c r="BH441" s="173"/>
      <c r="BI441" s="173"/>
      <c r="BJ441" s="173"/>
      <c r="BK441" s="173"/>
      <c r="BL441" s="173"/>
      <c r="BM441" s="173"/>
      <c r="BN441"/>
      <c r="BO441"/>
      <c r="BP441"/>
      <c r="BQ441"/>
    </row>
    <row r="442" spans="2:69" ht="25" customHeight="1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 s="173"/>
      <c r="AQ442"/>
      <c r="AR442"/>
      <c r="AS442"/>
      <c r="AT442"/>
      <c r="AU442"/>
      <c r="AV442"/>
      <c r="AW442"/>
      <c r="AX442"/>
      <c r="AY442"/>
      <c r="AZ442"/>
      <c r="BA442"/>
      <c r="BB442" s="173"/>
      <c r="BC442" s="173"/>
      <c r="BD442" s="173"/>
      <c r="BE442" s="173"/>
      <c r="BF442" s="173"/>
      <c r="BG442" s="173"/>
      <c r="BH442" s="173"/>
      <c r="BI442" s="173"/>
      <c r="BJ442" s="173"/>
      <c r="BK442" s="173"/>
      <c r="BL442" s="173"/>
      <c r="BM442" s="173"/>
      <c r="BN442"/>
      <c r="BO442"/>
      <c r="BP442"/>
      <c r="BQ442"/>
    </row>
    <row r="443" spans="2:69" ht="25" customHeight="1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 s="173"/>
      <c r="AQ443"/>
      <c r="AR443"/>
      <c r="AS443"/>
      <c r="AT443"/>
      <c r="AU443"/>
      <c r="AV443"/>
      <c r="AW443"/>
      <c r="AX443"/>
      <c r="AY443"/>
      <c r="AZ443"/>
      <c r="BA443"/>
      <c r="BB443" s="173"/>
      <c r="BC443" s="173"/>
      <c r="BD443" s="173"/>
      <c r="BE443" s="173"/>
      <c r="BF443" s="173"/>
      <c r="BG443" s="173"/>
      <c r="BH443" s="173"/>
      <c r="BI443" s="173"/>
      <c r="BJ443" s="173"/>
      <c r="BK443" s="173"/>
      <c r="BL443" s="173"/>
      <c r="BM443" s="173"/>
      <c r="BN443"/>
      <c r="BO443"/>
      <c r="BP443"/>
      <c r="BQ443"/>
    </row>
    <row r="444" spans="2:69" ht="25" customHeight="1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 s="173"/>
      <c r="AQ444"/>
      <c r="AR444"/>
      <c r="AS444"/>
      <c r="AT444"/>
      <c r="AU444"/>
      <c r="AV444"/>
      <c r="AW444"/>
      <c r="AX444"/>
      <c r="AY444"/>
      <c r="AZ444"/>
      <c r="BA444"/>
      <c r="BB444" s="173"/>
      <c r="BC444" s="173"/>
      <c r="BD444" s="173"/>
      <c r="BE444" s="173"/>
      <c r="BF444" s="173"/>
      <c r="BG444" s="173"/>
      <c r="BH444" s="173"/>
      <c r="BI444" s="173"/>
      <c r="BJ444" s="173"/>
      <c r="BK444" s="173"/>
      <c r="BL444" s="173"/>
      <c r="BM444" s="173"/>
      <c r="BN444"/>
      <c r="BO444"/>
      <c r="BP444"/>
      <c r="BQ444"/>
    </row>
    <row r="445" spans="2:69" ht="25" customHeight="1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 s="173"/>
      <c r="AQ445"/>
      <c r="AR445"/>
      <c r="AS445"/>
      <c r="AT445"/>
      <c r="AU445"/>
      <c r="AV445"/>
      <c r="AW445"/>
      <c r="AX445"/>
      <c r="AY445"/>
      <c r="AZ445"/>
      <c r="BA445"/>
      <c r="BB445" s="173"/>
      <c r="BC445" s="173"/>
      <c r="BD445" s="173"/>
      <c r="BE445" s="173"/>
      <c r="BF445" s="173"/>
      <c r="BG445" s="173"/>
      <c r="BH445" s="173"/>
      <c r="BI445" s="173"/>
      <c r="BJ445" s="173"/>
      <c r="BK445" s="173"/>
      <c r="BL445" s="173"/>
      <c r="BM445" s="173"/>
      <c r="BN445"/>
      <c r="BO445"/>
      <c r="BP445"/>
      <c r="BQ445"/>
    </row>
    <row r="446" spans="2:69" ht="25" customHeight="1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 s="173"/>
      <c r="AQ446"/>
      <c r="AR446"/>
      <c r="AS446"/>
      <c r="AT446"/>
      <c r="AU446"/>
      <c r="AV446"/>
      <c r="AW446"/>
      <c r="AX446"/>
      <c r="AY446"/>
      <c r="AZ446"/>
      <c r="BA446"/>
      <c r="BB446" s="173"/>
      <c r="BC446" s="173"/>
      <c r="BD446" s="173"/>
      <c r="BE446" s="173"/>
      <c r="BF446" s="173"/>
      <c r="BG446" s="173"/>
      <c r="BH446" s="173"/>
      <c r="BI446" s="173"/>
      <c r="BJ446" s="173"/>
      <c r="BK446" s="173"/>
      <c r="BL446" s="173"/>
      <c r="BM446" s="173"/>
      <c r="BN446"/>
      <c r="BO446"/>
      <c r="BP446"/>
      <c r="BQ446"/>
    </row>
    <row r="447" spans="2:69" ht="25" customHeight="1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 s="173"/>
      <c r="AQ447"/>
      <c r="AR447"/>
      <c r="AS447"/>
      <c r="AT447"/>
      <c r="AU447"/>
      <c r="AV447"/>
      <c r="AW447"/>
      <c r="AX447"/>
      <c r="AY447"/>
      <c r="AZ447"/>
      <c r="BA447"/>
      <c r="BB447" s="173"/>
      <c r="BC447" s="173"/>
      <c r="BD447" s="173"/>
      <c r="BE447" s="173"/>
      <c r="BF447" s="173"/>
      <c r="BG447" s="173"/>
      <c r="BH447" s="173"/>
      <c r="BI447" s="173"/>
      <c r="BJ447" s="173"/>
      <c r="BK447" s="173"/>
      <c r="BL447" s="173"/>
      <c r="BM447" s="173"/>
      <c r="BN447"/>
      <c r="BO447"/>
      <c r="BP447"/>
      <c r="BQ447"/>
    </row>
    <row r="448" spans="2:69" ht="25" customHeight="1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 s="173"/>
      <c r="AQ448"/>
      <c r="AR448"/>
      <c r="AS448"/>
      <c r="AT448"/>
      <c r="AU448"/>
      <c r="AV448"/>
      <c r="AW448"/>
      <c r="AX448"/>
      <c r="AY448"/>
      <c r="AZ448"/>
      <c r="BA448"/>
      <c r="BB448" s="173"/>
      <c r="BC448" s="173"/>
      <c r="BD448" s="173"/>
      <c r="BE448" s="173"/>
      <c r="BF448" s="173"/>
      <c r="BG448" s="173"/>
      <c r="BH448" s="173"/>
      <c r="BI448" s="173"/>
      <c r="BJ448" s="173"/>
      <c r="BK448" s="173"/>
      <c r="BL448" s="173"/>
      <c r="BM448" s="173"/>
      <c r="BN448"/>
      <c r="BO448"/>
      <c r="BP448"/>
      <c r="BQ448"/>
    </row>
    <row r="449" spans="2:69" ht="25" customHeight="1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 s="173"/>
      <c r="AQ449"/>
      <c r="AR449"/>
      <c r="AS449"/>
      <c r="AT449"/>
      <c r="AU449"/>
      <c r="AV449"/>
      <c r="AW449"/>
      <c r="AX449"/>
      <c r="AY449"/>
      <c r="AZ449"/>
      <c r="BA449"/>
      <c r="BB449" s="173"/>
      <c r="BC449" s="173"/>
      <c r="BD449" s="173"/>
      <c r="BE449" s="173"/>
      <c r="BF449" s="173"/>
      <c r="BG449" s="173"/>
      <c r="BH449" s="173"/>
      <c r="BI449" s="173"/>
      <c r="BJ449" s="173"/>
      <c r="BK449" s="173"/>
      <c r="BL449" s="173"/>
      <c r="BM449" s="173"/>
      <c r="BN449"/>
      <c r="BO449"/>
      <c r="BP449"/>
      <c r="BQ449"/>
    </row>
    <row r="450" spans="2:69" ht="25" customHeight="1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 s="173"/>
      <c r="AQ450"/>
      <c r="AR450"/>
      <c r="AS450"/>
      <c r="AT450"/>
      <c r="AU450"/>
      <c r="AV450"/>
      <c r="AW450"/>
      <c r="AX450"/>
      <c r="AY450"/>
      <c r="AZ450"/>
      <c r="BA450"/>
      <c r="BB450" s="173"/>
      <c r="BC450" s="173"/>
      <c r="BD450" s="173"/>
      <c r="BE450" s="173"/>
      <c r="BF450" s="173"/>
      <c r="BG450" s="173"/>
      <c r="BH450" s="173"/>
      <c r="BI450" s="173"/>
      <c r="BJ450" s="173"/>
      <c r="BK450" s="173"/>
      <c r="BL450" s="173"/>
      <c r="BM450" s="173"/>
      <c r="BN450"/>
      <c r="BO450"/>
      <c r="BP450"/>
      <c r="BQ450"/>
    </row>
    <row r="451" spans="2:69" ht="25" customHeight="1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 s="173"/>
      <c r="AQ451"/>
      <c r="AR451"/>
      <c r="AS451"/>
      <c r="AT451"/>
      <c r="AU451"/>
      <c r="AV451"/>
      <c r="AW451"/>
      <c r="AX451"/>
      <c r="AY451"/>
      <c r="AZ451"/>
      <c r="BA451"/>
      <c r="BB451" s="173"/>
      <c r="BC451" s="173"/>
      <c r="BD451" s="173"/>
      <c r="BE451" s="173"/>
      <c r="BF451" s="173"/>
      <c r="BG451" s="173"/>
      <c r="BH451" s="173"/>
      <c r="BI451" s="173"/>
      <c r="BJ451" s="173"/>
      <c r="BK451" s="173"/>
      <c r="BL451" s="173"/>
      <c r="BM451" s="173"/>
      <c r="BN451"/>
      <c r="BO451"/>
      <c r="BP451"/>
      <c r="BQ451"/>
    </row>
    <row r="452" spans="2:69" ht="25" customHeight="1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 s="173"/>
      <c r="AQ452"/>
      <c r="AR452"/>
      <c r="AS452"/>
      <c r="AT452"/>
      <c r="AU452"/>
      <c r="AV452"/>
      <c r="AW452"/>
      <c r="AX452"/>
      <c r="AY452"/>
      <c r="AZ452"/>
      <c r="BA452"/>
      <c r="BB452" s="173"/>
      <c r="BC452" s="173"/>
      <c r="BD452" s="173"/>
      <c r="BE452" s="173"/>
      <c r="BF452" s="173"/>
      <c r="BG452" s="173"/>
      <c r="BH452" s="173"/>
      <c r="BI452" s="173"/>
      <c r="BJ452" s="173"/>
      <c r="BK452" s="173"/>
      <c r="BL452" s="173"/>
      <c r="BM452" s="173"/>
      <c r="BN452"/>
      <c r="BO452"/>
      <c r="BP452"/>
      <c r="BQ452"/>
    </row>
    <row r="453" spans="2:69" ht="25" customHeight="1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 s="173"/>
      <c r="AQ453"/>
      <c r="AR453"/>
      <c r="AS453"/>
      <c r="AT453"/>
      <c r="AU453"/>
      <c r="AV453"/>
      <c r="AW453"/>
      <c r="AX453"/>
      <c r="AY453"/>
      <c r="AZ453"/>
      <c r="BA453"/>
      <c r="BB453" s="173"/>
      <c r="BC453" s="173"/>
      <c r="BD453" s="173"/>
      <c r="BE453" s="173"/>
      <c r="BF453" s="173"/>
      <c r="BG453" s="173"/>
      <c r="BH453" s="173"/>
      <c r="BI453" s="173"/>
      <c r="BJ453" s="173"/>
      <c r="BK453" s="173"/>
      <c r="BL453" s="173"/>
      <c r="BM453" s="173"/>
      <c r="BN453"/>
      <c r="BO453"/>
      <c r="BP453"/>
      <c r="BQ453"/>
    </row>
    <row r="454" spans="2:69" ht="25" customHeight="1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 s="173"/>
      <c r="AQ454"/>
      <c r="AR454"/>
      <c r="AS454"/>
      <c r="AT454"/>
      <c r="AU454"/>
      <c r="AV454"/>
      <c r="AW454"/>
      <c r="AX454"/>
      <c r="AY454"/>
      <c r="AZ454"/>
      <c r="BA454"/>
      <c r="BB454" s="173"/>
      <c r="BC454" s="173"/>
      <c r="BD454" s="173"/>
      <c r="BE454" s="173"/>
      <c r="BF454" s="173"/>
      <c r="BG454" s="173"/>
      <c r="BH454" s="173"/>
      <c r="BI454" s="173"/>
      <c r="BJ454" s="173"/>
      <c r="BK454" s="173"/>
      <c r="BL454" s="173"/>
      <c r="BM454" s="173"/>
      <c r="BN454"/>
      <c r="BO454"/>
      <c r="BP454"/>
      <c r="BQ454"/>
    </row>
    <row r="455" spans="2:69" ht="25" customHeight="1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 s="173"/>
      <c r="AQ455"/>
      <c r="AR455"/>
      <c r="AS455"/>
      <c r="AT455"/>
      <c r="AU455"/>
      <c r="AV455"/>
      <c r="AW455"/>
      <c r="AX455"/>
      <c r="AY455"/>
      <c r="AZ455"/>
      <c r="BA455"/>
      <c r="BB455" s="173"/>
      <c r="BC455" s="173"/>
      <c r="BD455" s="173"/>
      <c r="BE455" s="173"/>
      <c r="BF455" s="173"/>
      <c r="BG455" s="173"/>
      <c r="BH455" s="173"/>
      <c r="BI455" s="173"/>
      <c r="BJ455" s="173"/>
      <c r="BK455" s="173"/>
      <c r="BL455" s="173"/>
      <c r="BM455" s="173"/>
      <c r="BN455"/>
      <c r="BO455"/>
      <c r="BP455"/>
      <c r="BQ455"/>
    </row>
    <row r="456" spans="2:69" ht="25" customHeight="1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 s="173"/>
      <c r="AQ456"/>
      <c r="AR456"/>
      <c r="AS456"/>
      <c r="AT456"/>
      <c r="AU456"/>
      <c r="AV456"/>
      <c r="AW456"/>
      <c r="AX456"/>
      <c r="AY456"/>
      <c r="AZ456"/>
      <c r="BA456"/>
      <c r="BB456" s="173"/>
      <c r="BC456" s="173"/>
      <c r="BD456" s="173"/>
      <c r="BE456" s="173"/>
      <c r="BF456" s="173"/>
      <c r="BG456" s="173"/>
      <c r="BH456" s="173"/>
      <c r="BI456" s="173"/>
      <c r="BJ456" s="173"/>
      <c r="BK456" s="173"/>
      <c r="BL456" s="173"/>
      <c r="BM456" s="173"/>
      <c r="BN456"/>
      <c r="BO456"/>
      <c r="BP456"/>
      <c r="BQ456"/>
    </row>
    <row r="457" spans="2:69" ht="25" customHeight="1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 s="173"/>
      <c r="AQ457"/>
      <c r="AR457"/>
      <c r="AS457"/>
      <c r="AT457"/>
      <c r="AU457"/>
      <c r="AV457"/>
      <c r="AW457"/>
      <c r="AX457"/>
      <c r="AY457"/>
      <c r="AZ457"/>
      <c r="BA457"/>
      <c r="BB457" s="173"/>
      <c r="BC457" s="173"/>
      <c r="BD457" s="173"/>
      <c r="BE457" s="173"/>
      <c r="BF457" s="173"/>
      <c r="BG457" s="173"/>
      <c r="BH457" s="173"/>
      <c r="BI457" s="173"/>
      <c r="BJ457" s="173"/>
      <c r="BK457" s="173"/>
      <c r="BL457" s="173"/>
      <c r="BM457" s="173"/>
      <c r="BN457"/>
      <c r="BO457"/>
      <c r="BP457"/>
      <c r="BQ457"/>
    </row>
    <row r="458" spans="2:69" ht="25" customHeight="1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 s="173"/>
      <c r="AQ458"/>
      <c r="AR458"/>
      <c r="AS458"/>
      <c r="AT458"/>
      <c r="AU458"/>
      <c r="AV458"/>
      <c r="AW458"/>
      <c r="AX458"/>
      <c r="AY458"/>
      <c r="AZ458"/>
      <c r="BA458"/>
      <c r="BB458" s="173"/>
      <c r="BC458" s="173"/>
      <c r="BD458" s="173"/>
      <c r="BE458" s="173"/>
      <c r="BF458" s="173"/>
      <c r="BG458" s="173"/>
      <c r="BH458" s="173"/>
      <c r="BI458" s="173"/>
      <c r="BJ458" s="173"/>
      <c r="BK458" s="173"/>
      <c r="BL458" s="173"/>
      <c r="BM458" s="173"/>
      <c r="BN458"/>
      <c r="BO458"/>
      <c r="BP458"/>
      <c r="BQ458"/>
    </row>
    <row r="459" spans="2:69" ht="25" customHeight="1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 s="173"/>
      <c r="AQ459"/>
      <c r="AR459"/>
      <c r="AS459"/>
      <c r="AT459"/>
      <c r="AU459"/>
      <c r="AV459"/>
      <c r="AW459"/>
      <c r="AX459"/>
      <c r="AY459"/>
      <c r="AZ459"/>
      <c r="BA459"/>
      <c r="BB459" s="173"/>
      <c r="BC459" s="173"/>
      <c r="BD459" s="173"/>
      <c r="BE459" s="173"/>
      <c r="BF459" s="173"/>
      <c r="BG459" s="173"/>
      <c r="BH459" s="173"/>
      <c r="BI459" s="173"/>
      <c r="BJ459" s="173"/>
      <c r="BK459" s="173"/>
      <c r="BL459" s="173"/>
      <c r="BM459" s="173"/>
      <c r="BN459"/>
      <c r="BO459"/>
      <c r="BP459"/>
      <c r="BQ459"/>
    </row>
    <row r="460" spans="2:69" ht="25" customHeight="1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 s="173"/>
      <c r="AQ460"/>
      <c r="AR460"/>
      <c r="AS460"/>
      <c r="AT460"/>
      <c r="AU460"/>
      <c r="AV460"/>
      <c r="AW460"/>
      <c r="AX460"/>
      <c r="AY460"/>
      <c r="AZ460"/>
      <c r="BA460"/>
      <c r="BB460" s="173"/>
      <c r="BC460" s="173"/>
      <c r="BD460" s="173"/>
      <c r="BE460" s="173"/>
      <c r="BF460" s="173"/>
      <c r="BG460" s="173"/>
      <c r="BH460" s="173"/>
      <c r="BI460" s="173"/>
      <c r="BJ460" s="173"/>
      <c r="BK460" s="173"/>
      <c r="BL460" s="173"/>
      <c r="BM460" s="173"/>
      <c r="BN460"/>
      <c r="BO460"/>
      <c r="BP460"/>
      <c r="BQ460"/>
    </row>
    <row r="461" spans="2:69" ht="25" customHeight="1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 s="173"/>
      <c r="AQ461"/>
      <c r="AR461"/>
      <c r="AS461"/>
      <c r="AT461"/>
      <c r="AU461"/>
      <c r="AV461"/>
      <c r="AW461"/>
      <c r="AX461"/>
      <c r="AY461"/>
      <c r="AZ461"/>
      <c r="BA461"/>
      <c r="BB461" s="173"/>
      <c r="BC461" s="173"/>
      <c r="BD461" s="173"/>
      <c r="BE461" s="173"/>
      <c r="BF461" s="173"/>
      <c r="BG461" s="173"/>
      <c r="BH461" s="173"/>
      <c r="BI461" s="173"/>
      <c r="BJ461" s="173"/>
      <c r="BK461" s="173"/>
      <c r="BL461" s="173"/>
      <c r="BM461" s="173"/>
      <c r="BN461"/>
      <c r="BO461"/>
      <c r="BP461"/>
      <c r="BQ461"/>
    </row>
    <row r="462" spans="2:69" ht="25" customHeight="1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 s="173"/>
      <c r="AQ462"/>
      <c r="AR462"/>
      <c r="AS462"/>
      <c r="AT462"/>
      <c r="AU462"/>
      <c r="AV462"/>
      <c r="AW462"/>
      <c r="AX462"/>
      <c r="AY462"/>
      <c r="AZ462"/>
      <c r="BA462"/>
      <c r="BB462" s="173"/>
      <c r="BC462" s="173"/>
      <c r="BD462" s="173"/>
      <c r="BE462" s="173"/>
      <c r="BF462" s="173"/>
      <c r="BG462" s="173"/>
      <c r="BH462" s="173"/>
      <c r="BI462" s="173"/>
      <c r="BJ462" s="173"/>
      <c r="BK462" s="173"/>
      <c r="BL462" s="173"/>
      <c r="BM462" s="173"/>
      <c r="BN462"/>
      <c r="BO462"/>
      <c r="BP462"/>
      <c r="BQ462"/>
    </row>
    <row r="463" spans="2:69" ht="25" customHeight="1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 s="173"/>
      <c r="AQ463"/>
      <c r="AR463"/>
      <c r="AS463"/>
      <c r="AT463"/>
      <c r="AU463"/>
      <c r="AV463"/>
      <c r="AW463"/>
      <c r="AX463"/>
      <c r="AY463"/>
      <c r="AZ463"/>
      <c r="BA463"/>
      <c r="BB463" s="173"/>
      <c r="BC463" s="173"/>
      <c r="BD463" s="173"/>
      <c r="BE463" s="173"/>
      <c r="BF463" s="173"/>
      <c r="BG463" s="173"/>
      <c r="BH463" s="173"/>
      <c r="BI463" s="173"/>
      <c r="BJ463" s="173"/>
      <c r="BK463" s="173"/>
      <c r="BL463" s="173"/>
      <c r="BM463" s="173"/>
      <c r="BN463"/>
      <c r="BO463"/>
      <c r="BP463"/>
      <c r="BQ463"/>
    </row>
    <row r="464" spans="2:69" ht="25" customHeight="1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 s="173"/>
      <c r="AQ464"/>
      <c r="AR464"/>
      <c r="AS464"/>
      <c r="AT464"/>
      <c r="AU464"/>
      <c r="AV464"/>
      <c r="AW464"/>
      <c r="AX464"/>
      <c r="AY464"/>
      <c r="AZ464"/>
      <c r="BA464"/>
      <c r="BB464" s="173"/>
      <c r="BC464" s="173"/>
      <c r="BD464" s="173"/>
      <c r="BE464" s="173"/>
      <c r="BF464" s="173"/>
      <c r="BG464" s="173"/>
      <c r="BH464" s="173"/>
      <c r="BI464" s="173"/>
      <c r="BJ464" s="173"/>
      <c r="BK464" s="173"/>
      <c r="BL464" s="173"/>
      <c r="BM464" s="173"/>
      <c r="BN464"/>
      <c r="BO464"/>
      <c r="BP464"/>
      <c r="BQ464"/>
    </row>
    <row r="465" spans="2:69" ht="25" customHeight="1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 s="173"/>
      <c r="AQ465"/>
      <c r="AR465"/>
      <c r="AS465"/>
      <c r="AT465"/>
      <c r="AU465"/>
      <c r="AV465"/>
      <c r="AW465"/>
      <c r="AX465"/>
      <c r="AY465"/>
      <c r="AZ465"/>
      <c r="BA465"/>
      <c r="BB465" s="173"/>
      <c r="BC465" s="173"/>
      <c r="BD465" s="173"/>
      <c r="BE465" s="173"/>
      <c r="BF465" s="173"/>
      <c r="BG465" s="173"/>
      <c r="BH465" s="173"/>
      <c r="BI465" s="173"/>
      <c r="BJ465" s="173"/>
      <c r="BK465" s="173"/>
      <c r="BL465" s="173"/>
      <c r="BM465" s="173"/>
      <c r="BN465"/>
      <c r="BO465"/>
      <c r="BP465"/>
      <c r="BQ465"/>
    </row>
    <row r="466" spans="2:69" ht="25" customHeight="1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 s="173"/>
      <c r="AQ466"/>
      <c r="AR466"/>
      <c r="AS466"/>
      <c r="AT466"/>
      <c r="AU466"/>
      <c r="AV466"/>
      <c r="AW466"/>
      <c r="AX466"/>
      <c r="AY466"/>
      <c r="AZ466"/>
      <c r="BA466"/>
      <c r="BB466" s="173"/>
      <c r="BC466" s="173"/>
      <c r="BD466" s="173"/>
      <c r="BE466" s="173"/>
      <c r="BF466" s="173"/>
      <c r="BG466" s="173"/>
      <c r="BH466" s="173"/>
      <c r="BI466" s="173"/>
      <c r="BJ466" s="173"/>
      <c r="BK466" s="173"/>
      <c r="BL466" s="173"/>
      <c r="BM466" s="173"/>
      <c r="BN466"/>
      <c r="BO466"/>
      <c r="BP466"/>
      <c r="BQ466"/>
    </row>
    <row r="467" spans="2:69" ht="25" customHeight="1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 s="173"/>
      <c r="AQ467"/>
      <c r="AR467"/>
      <c r="AS467"/>
      <c r="AT467"/>
      <c r="AU467"/>
      <c r="AV467"/>
      <c r="AW467"/>
      <c r="AX467"/>
      <c r="AY467"/>
      <c r="AZ467"/>
      <c r="BA467"/>
      <c r="BB467" s="173"/>
      <c r="BC467" s="173"/>
      <c r="BD467" s="173"/>
      <c r="BE467" s="173"/>
      <c r="BF467" s="173"/>
      <c r="BG467" s="173"/>
      <c r="BH467" s="173"/>
      <c r="BI467" s="173"/>
      <c r="BJ467" s="173"/>
      <c r="BK467" s="173"/>
      <c r="BL467" s="173"/>
      <c r="BM467" s="173"/>
      <c r="BN467"/>
      <c r="BO467"/>
      <c r="BP467"/>
      <c r="BQ467"/>
    </row>
    <row r="468" spans="2:69" ht="25" customHeight="1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 s="173"/>
      <c r="AQ468"/>
      <c r="AR468"/>
      <c r="AS468"/>
      <c r="AT468"/>
      <c r="AU468"/>
      <c r="AV468"/>
      <c r="AW468"/>
      <c r="AX468"/>
      <c r="AY468"/>
      <c r="AZ468"/>
      <c r="BA468"/>
      <c r="BB468" s="173"/>
      <c r="BC468" s="173"/>
      <c r="BD468" s="173"/>
      <c r="BE468" s="173"/>
      <c r="BF468" s="173"/>
      <c r="BG468" s="173"/>
      <c r="BH468" s="173"/>
      <c r="BI468" s="173"/>
      <c r="BJ468" s="173"/>
      <c r="BK468" s="173"/>
      <c r="BL468" s="173"/>
      <c r="BM468" s="173"/>
      <c r="BN468"/>
      <c r="BO468"/>
      <c r="BP468"/>
      <c r="BQ468"/>
    </row>
    <row r="469" spans="2:69" ht="25" customHeight="1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 s="173"/>
      <c r="AQ469"/>
      <c r="AR469"/>
      <c r="AS469"/>
      <c r="AT469"/>
      <c r="AU469"/>
      <c r="AV469"/>
      <c r="AW469"/>
      <c r="AX469"/>
      <c r="AY469"/>
      <c r="AZ469"/>
      <c r="BA469"/>
      <c r="BB469" s="173"/>
      <c r="BC469" s="173"/>
      <c r="BD469" s="173"/>
      <c r="BE469" s="173"/>
      <c r="BF469" s="173"/>
      <c r="BG469" s="173"/>
      <c r="BH469" s="173"/>
      <c r="BI469" s="173"/>
      <c r="BJ469" s="173"/>
      <c r="BK469" s="173"/>
      <c r="BL469" s="173"/>
      <c r="BM469" s="173"/>
      <c r="BN469"/>
      <c r="BO469"/>
      <c r="BP469"/>
      <c r="BQ469"/>
    </row>
    <row r="470" spans="2:69" ht="25" customHeight="1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 s="173"/>
      <c r="AQ470"/>
      <c r="AR470"/>
      <c r="AS470"/>
      <c r="AT470"/>
      <c r="AU470"/>
      <c r="AV470"/>
      <c r="AW470"/>
      <c r="AX470"/>
      <c r="AY470"/>
      <c r="AZ470"/>
      <c r="BA470"/>
      <c r="BB470" s="173"/>
      <c r="BC470" s="173"/>
      <c r="BD470" s="173"/>
      <c r="BE470" s="173"/>
      <c r="BF470" s="173"/>
      <c r="BG470" s="173"/>
      <c r="BH470" s="173"/>
      <c r="BI470" s="173"/>
      <c r="BJ470" s="173"/>
      <c r="BK470" s="173"/>
      <c r="BL470" s="173"/>
      <c r="BM470" s="173"/>
      <c r="BN470"/>
      <c r="BO470"/>
      <c r="BP470"/>
      <c r="BQ470"/>
    </row>
    <row r="471" spans="2:69" ht="25" customHeight="1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 s="173"/>
      <c r="AQ471"/>
      <c r="AR471"/>
      <c r="AS471"/>
      <c r="AT471"/>
      <c r="AU471"/>
      <c r="AV471"/>
      <c r="AW471"/>
      <c r="AX471"/>
      <c r="AY471"/>
      <c r="AZ471"/>
      <c r="BA471"/>
      <c r="BB471" s="173"/>
      <c r="BC471" s="173"/>
      <c r="BD471" s="173"/>
      <c r="BE471" s="173"/>
      <c r="BF471" s="173"/>
      <c r="BG471" s="173"/>
      <c r="BH471" s="173"/>
      <c r="BI471" s="173"/>
      <c r="BJ471" s="173"/>
      <c r="BK471" s="173"/>
      <c r="BL471" s="173"/>
      <c r="BM471" s="173"/>
      <c r="BN471"/>
      <c r="BO471"/>
      <c r="BP471"/>
      <c r="BQ471"/>
    </row>
    <row r="472" spans="2:69" ht="25" customHeight="1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 s="173"/>
      <c r="AQ472"/>
      <c r="AR472"/>
      <c r="AS472"/>
      <c r="AT472"/>
      <c r="AU472"/>
      <c r="AV472"/>
      <c r="AW472"/>
      <c r="AX472"/>
      <c r="AY472"/>
      <c r="AZ472"/>
      <c r="BA472"/>
      <c r="BB472" s="173"/>
      <c r="BC472" s="173"/>
      <c r="BD472" s="173"/>
      <c r="BE472" s="173"/>
      <c r="BF472" s="173"/>
      <c r="BG472" s="173"/>
      <c r="BH472" s="173"/>
      <c r="BI472" s="173"/>
      <c r="BJ472" s="173"/>
      <c r="BK472" s="173"/>
      <c r="BL472" s="173"/>
      <c r="BM472" s="173"/>
      <c r="BN472"/>
      <c r="BO472"/>
      <c r="BP472"/>
      <c r="BQ472"/>
    </row>
    <row r="473" spans="2:69" ht="25" customHeight="1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 s="173"/>
      <c r="AQ473"/>
      <c r="AR473"/>
      <c r="AS473"/>
      <c r="AT473"/>
      <c r="AU473"/>
      <c r="AV473"/>
      <c r="AW473"/>
      <c r="AX473"/>
      <c r="AY473"/>
      <c r="AZ473"/>
      <c r="BA473"/>
      <c r="BB473" s="173"/>
      <c r="BC473" s="173"/>
      <c r="BD473" s="173"/>
      <c r="BE473" s="173"/>
      <c r="BF473" s="173"/>
      <c r="BG473" s="173"/>
      <c r="BH473" s="173"/>
      <c r="BI473" s="173"/>
      <c r="BJ473" s="173"/>
      <c r="BK473" s="173"/>
      <c r="BL473" s="173"/>
      <c r="BM473" s="173"/>
      <c r="BN473"/>
      <c r="BO473"/>
      <c r="BP473"/>
      <c r="BQ473"/>
    </row>
    <row r="474" spans="2:69" ht="25" customHeight="1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 s="173"/>
      <c r="AQ474"/>
      <c r="AR474"/>
      <c r="AS474"/>
      <c r="AT474"/>
      <c r="AU474"/>
      <c r="AV474"/>
      <c r="AW474"/>
      <c r="AX474"/>
      <c r="AY474"/>
      <c r="AZ474"/>
      <c r="BA474"/>
      <c r="BB474" s="173"/>
      <c r="BC474" s="173"/>
      <c r="BD474" s="173"/>
      <c r="BE474" s="173"/>
      <c r="BF474" s="173"/>
      <c r="BG474" s="173"/>
      <c r="BH474" s="173"/>
      <c r="BI474" s="173"/>
      <c r="BJ474" s="173"/>
      <c r="BK474" s="173"/>
      <c r="BL474" s="173"/>
      <c r="BM474" s="173"/>
      <c r="BN474"/>
      <c r="BO474"/>
      <c r="BP474"/>
      <c r="BQ474"/>
    </row>
    <row r="475" spans="2:69" ht="25" customHeight="1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 s="173"/>
      <c r="AQ475"/>
      <c r="AR475"/>
      <c r="AS475"/>
      <c r="AT475"/>
      <c r="AU475"/>
      <c r="AV475"/>
      <c r="AW475"/>
      <c r="AX475"/>
      <c r="AY475"/>
      <c r="AZ475"/>
      <c r="BA475"/>
      <c r="BB475" s="173"/>
      <c r="BC475" s="173"/>
      <c r="BD475" s="173"/>
      <c r="BE475" s="173"/>
      <c r="BF475" s="173"/>
      <c r="BG475" s="173"/>
      <c r="BH475" s="173"/>
      <c r="BI475" s="173"/>
      <c r="BJ475" s="173"/>
      <c r="BK475" s="173"/>
      <c r="BL475" s="173"/>
      <c r="BM475" s="173"/>
      <c r="BN475"/>
      <c r="BO475"/>
      <c r="BP475"/>
      <c r="BQ475"/>
    </row>
    <row r="476" spans="2:69" ht="25" customHeight="1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 s="173"/>
      <c r="AQ476"/>
      <c r="AR476"/>
      <c r="AS476"/>
      <c r="AT476"/>
      <c r="AU476"/>
      <c r="AV476"/>
      <c r="AW476"/>
      <c r="AX476"/>
      <c r="AY476"/>
      <c r="AZ476"/>
      <c r="BA476"/>
      <c r="BB476" s="173"/>
      <c r="BC476" s="173"/>
      <c r="BD476" s="173"/>
      <c r="BE476" s="173"/>
      <c r="BF476" s="173"/>
      <c r="BG476" s="173"/>
      <c r="BH476" s="173"/>
      <c r="BI476" s="173"/>
      <c r="BJ476" s="173"/>
      <c r="BK476" s="173"/>
      <c r="BL476" s="173"/>
      <c r="BM476" s="173"/>
      <c r="BN476"/>
      <c r="BO476"/>
      <c r="BP476"/>
      <c r="BQ476"/>
    </row>
    <row r="477" spans="2:69" ht="25" customHeight="1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 s="173"/>
      <c r="AQ477"/>
      <c r="AR477"/>
      <c r="AS477"/>
      <c r="AT477"/>
      <c r="AU477"/>
      <c r="AV477"/>
      <c r="AW477"/>
      <c r="AX477"/>
      <c r="AY477"/>
      <c r="AZ477"/>
      <c r="BA477"/>
      <c r="BB477" s="173"/>
      <c r="BC477" s="173"/>
      <c r="BD477" s="173"/>
      <c r="BE477" s="173"/>
      <c r="BF477" s="173"/>
      <c r="BG477" s="173"/>
      <c r="BH477" s="173"/>
      <c r="BI477" s="173"/>
      <c r="BJ477" s="173"/>
      <c r="BK477" s="173"/>
      <c r="BL477" s="173"/>
      <c r="BM477" s="173"/>
      <c r="BN477"/>
      <c r="BO477"/>
      <c r="BP477"/>
      <c r="BQ477"/>
    </row>
    <row r="478" spans="2:69" ht="25" customHeight="1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 s="173"/>
      <c r="AQ478"/>
      <c r="AR478"/>
      <c r="AS478"/>
      <c r="AT478"/>
      <c r="AU478"/>
      <c r="AV478"/>
      <c r="AW478"/>
      <c r="AX478"/>
      <c r="AY478"/>
      <c r="AZ478"/>
      <c r="BA478"/>
      <c r="BB478" s="173"/>
      <c r="BC478" s="173"/>
      <c r="BD478" s="173"/>
      <c r="BE478" s="173"/>
      <c r="BF478" s="173"/>
      <c r="BG478" s="173"/>
      <c r="BH478" s="173"/>
      <c r="BI478" s="173"/>
      <c r="BJ478" s="173"/>
      <c r="BK478" s="173"/>
      <c r="BL478" s="173"/>
      <c r="BM478" s="173"/>
      <c r="BN478"/>
      <c r="BO478"/>
      <c r="BP478"/>
      <c r="BQ478"/>
    </row>
    <row r="479" spans="2:69" ht="25" customHeight="1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 s="173"/>
      <c r="AQ479"/>
      <c r="AR479"/>
      <c r="AS479"/>
      <c r="AT479"/>
      <c r="AU479"/>
      <c r="AV479"/>
      <c r="AW479"/>
      <c r="AX479"/>
      <c r="AY479"/>
      <c r="AZ479"/>
      <c r="BA479"/>
      <c r="BB479" s="173"/>
      <c r="BC479" s="173"/>
      <c r="BD479" s="173"/>
      <c r="BE479" s="173"/>
      <c r="BF479" s="173"/>
      <c r="BG479" s="173"/>
      <c r="BH479" s="173"/>
      <c r="BI479" s="173"/>
      <c r="BJ479" s="173"/>
      <c r="BK479" s="173"/>
      <c r="BL479" s="173"/>
      <c r="BM479" s="173"/>
      <c r="BN479"/>
      <c r="BO479"/>
      <c r="BP479"/>
      <c r="BQ479"/>
    </row>
    <row r="480" spans="2:69" ht="25" customHeight="1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 s="173"/>
      <c r="AQ480"/>
      <c r="AR480"/>
      <c r="AS480"/>
      <c r="AT480"/>
      <c r="AU480"/>
      <c r="AV480"/>
      <c r="AW480"/>
      <c r="AX480"/>
      <c r="AY480"/>
      <c r="AZ480"/>
      <c r="BA480"/>
      <c r="BB480" s="173"/>
      <c r="BC480" s="173"/>
      <c r="BD480" s="173"/>
      <c r="BE480" s="173"/>
      <c r="BF480" s="173"/>
      <c r="BG480" s="173"/>
      <c r="BH480" s="173"/>
      <c r="BI480" s="173"/>
      <c r="BJ480" s="173"/>
      <c r="BK480" s="173"/>
      <c r="BL480" s="173"/>
      <c r="BM480" s="173"/>
      <c r="BN480"/>
      <c r="BO480"/>
      <c r="BP480"/>
      <c r="BQ480"/>
    </row>
    <row r="481" spans="2:69" ht="25" customHeight="1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 s="173"/>
      <c r="AQ481"/>
      <c r="AR481"/>
      <c r="AS481"/>
      <c r="AT481"/>
      <c r="AU481"/>
      <c r="AV481"/>
      <c r="AW481"/>
      <c r="AX481"/>
      <c r="AY481"/>
      <c r="AZ481"/>
      <c r="BA481"/>
      <c r="BB481" s="173"/>
      <c r="BC481" s="173"/>
      <c r="BD481" s="173"/>
      <c r="BE481" s="173"/>
      <c r="BF481" s="173"/>
      <c r="BG481" s="173"/>
      <c r="BH481" s="173"/>
      <c r="BI481" s="173"/>
      <c r="BJ481" s="173"/>
      <c r="BK481" s="173"/>
      <c r="BL481" s="173"/>
      <c r="BM481" s="173"/>
      <c r="BN481"/>
      <c r="BO481"/>
      <c r="BP481"/>
      <c r="BQ481"/>
    </row>
    <row r="482" spans="2:69" ht="25" customHeight="1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 s="173"/>
      <c r="AQ482"/>
      <c r="AR482"/>
      <c r="AS482"/>
      <c r="AT482"/>
      <c r="AU482"/>
      <c r="AV482"/>
      <c r="AW482"/>
      <c r="AX482"/>
      <c r="AY482"/>
      <c r="AZ482"/>
      <c r="BA482"/>
      <c r="BB482" s="173"/>
      <c r="BC482" s="173"/>
      <c r="BD482" s="173"/>
      <c r="BE482" s="173"/>
      <c r="BF482" s="173"/>
      <c r="BG482" s="173"/>
      <c r="BH482" s="173"/>
      <c r="BI482" s="173"/>
      <c r="BJ482" s="173"/>
      <c r="BK482" s="173"/>
      <c r="BL482" s="173"/>
      <c r="BM482" s="173"/>
      <c r="BN482"/>
      <c r="BO482"/>
      <c r="BP482"/>
      <c r="BQ482"/>
    </row>
    <row r="483" spans="2:69" ht="25" customHeight="1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 s="173"/>
      <c r="AQ483"/>
      <c r="AR483"/>
      <c r="AS483"/>
      <c r="AT483"/>
      <c r="AU483"/>
      <c r="AV483"/>
      <c r="AW483"/>
      <c r="AX483"/>
      <c r="AY483"/>
      <c r="AZ483"/>
      <c r="BA483"/>
      <c r="BB483" s="173"/>
      <c r="BC483" s="173"/>
      <c r="BD483" s="173"/>
      <c r="BE483" s="173"/>
      <c r="BF483" s="173"/>
      <c r="BG483" s="173"/>
      <c r="BH483" s="173"/>
      <c r="BI483" s="173"/>
      <c r="BJ483" s="173"/>
      <c r="BK483" s="173"/>
      <c r="BL483" s="173"/>
      <c r="BM483" s="173"/>
      <c r="BN483"/>
      <c r="BO483"/>
      <c r="BP483"/>
      <c r="BQ483"/>
    </row>
    <row r="484" spans="2:69" ht="25" customHeight="1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 s="173"/>
      <c r="AQ484"/>
      <c r="AR484"/>
      <c r="AS484"/>
      <c r="AT484"/>
      <c r="AU484"/>
      <c r="AV484"/>
      <c r="AW484"/>
      <c r="AX484"/>
      <c r="AY484"/>
      <c r="AZ484"/>
      <c r="BA484"/>
      <c r="BB484" s="173"/>
      <c r="BC484" s="173"/>
      <c r="BD484" s="173"/>
      <c r="BE484" s="173"/>
      <c r="BF484" s="173"/>
      <c r="BG484" s="173"/>
      <c r="BH484" s="173"/>
      <c r="BI484" s="173"/>
      <c r="BJ484" s="173"/>
      <c r="BK484" s="173"/>
      <c r="BL484" s="173"/>
      <c r="BM484" s="173"/>
      <c r="BN484"/>
      <c r="BO484"/>
      <c r="BP484"/>
      <c r="BQ484"/>
    </row>
    <row r="485" spans="2:69" ht="25" customHeight="1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 s="173"/>
      <c r="AQ485"/>
      <c r="AR485"/>
      <c r="AS485"/>
      <c r="AT485"/>
      <c r="AU485"/>
      <c r="AV485"/>
      <c r="AW485"/>
      <c r="AX485"/>
      <c r="AY485"/>
      <c r="AZ485"/>
      <c r="BA485"/>
      <c r="BB485" s="173"/>
      <c r="BC485" s="173"/>
      <c r="BD485" s="173"/>
      <c r="BE485" s="173"/>
      <c r="BF485" s="173"/>
      <c r="BG485" s="173"/>
      <c r="BH485" s="173"/>
      <c r="BI485" s="173"/>
      <c r="BJ485" s="173"/>
      <c r="BK485" s="173"/>
      <c r="BL485" s="173"/>
      <c r="BM485" s="173"/>
      <c r="BN485"/>
      <c r="BO485"/>
      <c r="BP485"/>
      <c r="BQ485"/>
    </row>
    <row r="486" spans="2:69" ht="25" customHeight="1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 s="173"/>
      <c r="AQ486"/>
      <c r="AR486"/>
      <c r="AS486"/>
      <c r="AT486"/>
      <c r="AU486"/>
      <c r="AV486"/>
      <c r="AW486"/>
      <c r="AX486"/>
      <c r="AY486"/>
      <c r="AZ486"/>
      <c r="BA486"/>
      <c r="BB486" s="173"/>
      <c r="BC486" s="173"/>
      <c r="BD486" s="173"/>
      <c r="BE486" s="173"/>
      <c r="BF486" s="173"/>
      <c r="BG486" s="173"/>
      <c r="BH486" s="173"/>
      <c r="BI486" s="173"/>
      <c r="BJ486" s="173"/>
      <c r="BK486" s="173"/>
      <c r="BL486" s="173"/>
      <c r="BM486" s="173"/>
      <c r="BN486"/>
      <c r="BO486"/>
      <c r="BP486"/>
      <c r="BQ486"/>
    </row>
    <row r="487" spans="2:69" ht="25" customHeight="1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 s="173"/>
      <c r="AQ487"/>
      <c r="AR487"/>
      <c r="AS487"/>
      <c r="AT487"/>
      <c r="AU487"/>
      <c r="AV487"/>
      <c r="AW487"/>
      <c r="AX487"/>
      <c r="AY487"/>
      <c r="AZ487"/>
      <c r="BA487"/>
      <c r="BB487" s="173"/>
      <c r="BC487" s="173"/>
      <c r="BD487" s="173"/>
      <c r="BE487" s="173"/>
      <c r="BF487" s="173"/>
      <c r="BG487" s="173"/>
      <c r="BH487" s="173"/>
      <c r="BI487" s="173"/>
      <c r="BJ487" s="173"/>
      <c r="BK487" s="173"/>
      <c r="BL487" s="173"/>
      <c r="BM487" s="173"/>
      <c r="BN487"/>
      <c r="BO487"/>
      <c r="BP487"/>
      <c r="BQ487"/>
    </row>
    <row r="488" spans="2:69" ht="25" customHeight="1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 s="173"/>
      <c r="AQ488"/>
      <c r="AR488"/>
      <c r="AS488"/>
      <c r="AT488"/>
      <c r="AU488"/>
      <c r="AV488"/>
      <c r="AW488"/>
      <c r="AX488"/>
      <c r="AY488"/>
      <c r="AZ488"/>
      <c r="BA488"/>
      <c r="BB488" s="173"/>
      <c r="BC488" s="173"/>
      <c r="BD488" s="173"/>
      <c r="BE488" s="173"/>
      <c r="BF488" s="173"/>
      <c r="BG488" s="173"/>
      <c r="BH488" s="173"/>
      <c r="BI488" s="173"/>
      <c r="BJ488" s="173"/>
      <c r="BK488" s="173"/>
      <c r="BL488" s="173"/>
      <c r="BM488" s="173"/>
      <c r="BN488"/>
      <c r="BO488"/>
      <c r="BP488"/>
      <c r="BQ488"/>
    </row>
    <row r="489" spans="2:69" ht="25" customHeight="1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 s="173"/>
      <c r="AQ489"/>
      <c r="AR489"/>
      <c r="AS489"/>
      <c r="AT489"/>
      <c r="AU489"/>
      <c r="AV489"/>
      <c r="AW489"/>
      <c r="AX489"/>
      <c r="AY489"/>
      <c r="AZ489"/>
      <c r="BA489"/>
      <c r="BB489" s="173"/>
      <c r="BC489" s="173"/>
      <c r="BD489" s="173"/>
      <c r="BE489" s="173"/>
      <c r="BF489" s="173"/>
      <c r="BG489" s="173"/>
      <c r="BH489" s="173"/>
      <c r="BI489" s="173"/>
      <c r="BJ489" s="173"/>
      <c r="BK489" s="173"/>
      <c r="BL489" s="173"/>
      <c r="BM489" s="173"/>
      <c r="BN489"/>
      <c r="BO489"/>
      <c r="BP489"/>
      <c r="BQ489"/>
    </row>
    <row r="490" spans="2:69" ht="25" customHeight="1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 s="173"/>
      <c r="AQ490"/>
      <c r="AR490"/>
      <c r="AS490"/>
      <c r="AT490"/>
      <c r="AU490"/>
      <c r="AV490"/>
      <c r="AW490"/>
      <c r="AX490"/>
      <c r="AY490"/>
      <c r="AZ490"/>
      <c r="BA490"/>
      <c r="BB490" s="173"/>
      <c r="BC490" s="173"/>
      <c r="BD490" s="173"/>
      <c r="BE490" s="173"/>
      <c r="BF490" s="173"/>
      <c r="BG490" s="173"/>
      <c r="BH490" s="173"/>
      <c r="BI490" s="173"/>
      <c r="BJ490" s="173"/>
      <c r="BK490" s="173"/>
      <c r="BL490" s="173"/>
      <c r="BM490" s="173"/>
      <c r="BN490"/>
      <c r="BO490"/>
      <c r="BP490"/>
      <c r="BQ490"/>
    </row>
    <row r="491" spans="2:69" ht="25" customHeight="1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 s="173"/>
      <c r="AQ491"/>
      <c r="AR491"/>
      <c r="AS491"/>
      <c r="AT491"/>
      <c r="AU491"/>
      <c r="AV491"/>
      <c r="AW491"/>
      <c r="AX491"/>
      <c r="AY491"/>
      <c r="AZ491"/>
      <c r="BA491"/>
      <c r="BB491" s="173"/>
      <c r="BC491" s="173"/>
      <c r="BD491" s="173"/>
      <c r="BE491" s="173"/>
      <c r="BF491" s="173"/>
      <c r="BG491" s="173"/>
      <c r="BH491" s="173"/>
      <c r="BI491" s="173"/>
      <c r="BJ491" s="173"/>
      <c r="BK491" s="173"/>
      <c r="BL491" s="173"/>
      <c r="BM491" s="173"/>
      <c r="BN491"/>
      <c r="BO491"/>
      <c r="BP491"/>
      <c r="BQ491"/>
    </row>
    <row r="492" spans="2:69" ht="25" customHeight="1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 s="173"/>
      <c r="AQ492"/>
      <c r="AR492"/>
      <c r="AS492"/>
      <c r="AT492"/>
      <c r="AU492"/>
      <c r="AV492"/>
      <c r="AW492"/>
      <c r="AX492"/>
      <c r="AY492"/>
      <c r="AZ492"/>
      <c r="BA492"/>
      <c r="BB492" s="173"/>
      <c r="BC492" s="173"/>
      <c r="BD492" s="173"/>
      <c r="BE492" s="173"/>
      <c r="BF492" s="173"/>
      <c r="BG492" s="173"/>
      <c r="BH492" s="173"/>
      <c r="BI492" s="173"/>
      <c r="BJ492" s="173"/>
      <c r="BK492" s="173"/>
      <c r="BL492" s="173"/>
      <c r="BM492" s="173"/>
      <c r="BN492"/>
      <c r="BO492"/>
      <c r="BP492"/>
      <c r="BQ492"/>
    </row>
    <row r="493" spans="2:69" ht="25" customHeight="1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 s="173"/>
      <c r="AQ493"/>
      <c r="AR493"/>
      <c r="AS493"/>
      <c r="AT493"/>
      <c r="AU493"/>
      <c r="AV493"/>
      <c r="AW493"/>
      <c r="AX493"/>
      <c r="AY493"/>
      <c r="AZ493"/>
      <c r="BA493"/>
      <c r="BB493" s="173"/>
      <c r="BC493" s="173"/>
      <c r="BD493" s="173"/>
      <c r="BE493" s="173"/>
      <c r="BF493" s="173"/>
      <c r="BG493" s="173"/>
      <c r="BH493" s="173"/>
      <c r="BI493" s="173"/>
      <c r="BJ493" s="173"/>
      <c r="BK493" s="173"/>
      <c r="BL493" s="173"/>
      <c r="BM493" s="173"/>
      <c r="BN493"/>
      <c r="BO493"/>
      <c r="BP493"/>
      <c r="BQ493"/>
    </row>
    <row r="494" spans="2:69" ht="25" customHeight="1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 s="173"/>
      <c r="AQ494"/>
      <c r="AR494"/>
      <c r="AS494"/>
      <c r="AT494"/>
      <c r="AU494"/>
      <c r="AV494"/>
      <c r="AW494"/>
      <c r="AX494"/>
      <c r="AY494"/>
      <c r="AZ494"/>
      <c r="BA494"/>
      <c r="BB494" s="173"/>
      <c r="BC494" s="173"/>
      <c r="BD494" s="173"/>
      <c r="BE494" s="173"/>
      <c r="BF494" s="173"/>
      <c r="BG494" s="173"/>
      <c r="BH494" s="173"/>
      <c r="BI494" s="173"/>
      <c r="BJ494" s="173"/>
      <c r="BK494" s="173"/>
      <c r="BL494" s="173"/>
      <c r="BM494" s="173"/>
      <c r="BN494"/>
      <c r="BO494"/>
      <c r="BP494"/>
      <c r="BQ494"/>
    </row>
    <row r="495" spans="2:69" ht="25" customHeight="1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 s="173"/>
      <c r="AQ495"/>
      <c r="AR495"/>
      <c r="AS495"/>
      <c r="AT495"/>
      <c r="AU495"/>
      <c r="AV495"/>
      <c r="AW495"/>
      <c r="AX495"/>
      <c r="AY495"/>
      <c r="AZ495"/>
      <c r="BA495"/>
      <c r="BB495" s="173"/>
      <c r="BC495" s="173"/>
      <c r="BD495" s="173"/>
      <c r="BE495" s="173"/>
      <c r="BF495" s="173"/>
      <c r="BG495" s="173"/>
      <c r="BH495" s="173"/>
      <c r="BI495" s="173"/>
      <c r="BJ495" s="173"/>
      <c r="BK495" s="173"/>
      <c r="BL495" s="173"/>
      <c r="BM495" s="173"/>
      <c r="BN495"/>
      <c r="BO495"/>
      <c r="BP495"/>
      <c r="BQ495"/>
    </row>
    <row r="496" spans="2:69" ht="25" customHeight="1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 s="173"/>
      <c r="AQ496"/>
      <c r="AR496"/>
      <c r="AS496"/>
      <c r="AT496"/>
      <c r="AU496"/>
      <c r="AV496"/>
      <c r="AW496"/>
      <c r="AX496"/>
      <c r="AY496"/>
      <c r="AZ496"/>
      <c r="BA496"/>
      <c r="BB496" s="173"/>
      <c r="BC496" s="173"/>
      <c r="BD496" s="173"/>
      <c r="BE496" s="173"/>
      <c r="BF496" s="173"/>
      <c r="BG496" s="173"/>
      <c r="BH496" s="173"/>
      <c r="BI496" s="173"/>
      <c r="BJ496" s="173"/>
      <c r="BK496" s="173"/>
      <c r="BL496" s="173"/>
      <c r="BM496" s="173"/>
      <c r="BN496"/>
      <c r="BO496"/>
      <c r="BP496"/>
      <c r="BQ496"/>
    </row>
    <row r="497" spans="2:69" ht="25" customHeight="1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 s="173"/>
      <c r="AQ497"/>
      <c r="AR497"/>
      <c r="AS497"/>
      <c r="AT497"/>
      <c r="AU497"/>
      <c r="AV497"/>
      <c r="AW497"/>
      <c r="AX497"/>
      <c r="AY497"/>
      <c r="AZ497"/>
      <c r="BA497"/>
      <c r="BB497" s="173"/>
      <c r="BC497" s="173"/>
      <c r="BD497" s="173"/>
      <c r="BE497" s="173"/>
      <c r="BF497" s="173"/>
      <c r="BG497" s="173"/>
      <c r="BH497" s="173"/>
      <c r="BI497" s="173"/>
      <c r="BJ497" s="173"/>
      <c r="BK497" s="173"/>
      <c r="BL497" s="173"/>
      <c r="BM497" s="173"/>
      <c r="BN497"/>
      <c r="BO497"/>
      <c r="BP497"/>
      <c r="BQ497"/>
    </row>
    <row r="498" spans="2:69" ht="25" customHeight="1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 s="173"/>
      <c r="AQ498"/>
      <c r="AR498"/>
      <c r="AS498"/>
      <c r="AT498"/>
      <c r="AU498"/>
      <c r="AV498"/>
      <c r="AW498"/>
      <c r="AX498"/>
      <c r="AY498"/>
      <c r="AZ498"/>
      <c r="BA498"/>
      <c r="BB498" s="173"/>
      <c r="BC498" s="173"/>
      <c r="BD498" s="173"/>
      <c r="BE498" s="173"/>
      <c r="BF498" s="173"/>
      <c r="BG498" s="173"/>
      <c r="BH498" s="173"/>
      <c r="BI498" s="173"/>
      <c r="BJ498" s="173"/>
      <c r="BK498" s="173"/>
      <c r="BL498" s="173"/>
      <c r="BM498" s="173"/>
      <c r="BN498"/>
      <c r="BO498"/>
      <c r="BP498"/>
      <c r="BQ498"/>
    </row>
    <row r="499" spans="2:69" ht="25" customHeight="1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 s="173"/>
      <c r="AQ499"/>
      <c r="AR499"/>
      <c r="AS499"/>
      <c r="AT499"/>
      <c r="AU499"/>
      <c r="AV499"/>
      <c r="AW499"/>
      <c r="AX499"/>
      <c r="AY499"/>
      <c r="AZ499"/>
      <c r="BA499"/>
      <c r="BB499" s="173"/>
      <c r="BC499" s="173"/>
      <c r="BD499" s="173"/>
      <c r="BE499" s="173"/>
      <c r="BF499" s="173"/>
      <c r="BG499" s="173"/>
      <c r="BH499" s="173"/>
      <c r="BI499" s="173"/>
      <c r="BJ499" s="173"/>
      <c r="BK499" s="173"/>
      <c r="BL499" s="173"/>
      <c r="BM499" s="173"/>
      <c r="BN499"/>
      <c r="BO499"/>
      <c r="BP499"/>
      <c r="BQ499"/>
    </row>
    <row r="500" spans="2:69" ht="25" customHeight="1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 s="173"/>
      <c r="AQ500"/>
      <c r="AR500"/>
      <c r="AS500"/>
      <c r="AT500"/>
      <c r="AU500"/>
      <c r="AV500"/>
      <c r="AW500"/>
      <c r="AX500"/>
      <c r="AY500"/>
      <c r="AZ500"/>
      <c r="BA500"/>
      <c r="BB500" s="173"/>
      <c r="BC500" s="173"/>
      <c r="BD500" s="173"/>
      <c r="BE500" s="173"/>
      <c r="BF500" s="173"/>
      <c r="BG500" s="173"/>
      <c r="BH500" s="173"/>
      <c r="BI500" s="173"/>
      <c r="BJ500" s="173"/>
      <c r="BK500" s="173"/>
      <c r="BL500" s="173"/>
      <c r="BM500" s="173"/>
      <c r="BN500"/>
      <c r="BO500"/>
      <c r="BP500"/>
      <c r="BQ500"/>
    </row>
    <row r="501" spans="2:69" ht="25" customHeight="1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 s="173"/>
      <c r="AQ501"/>
      <c r="AR501"/>
      <c r="AS501"/>
      <c r="AT501"/>
      <c r="AU501"/>
      <c r="AV501"/>
      <c r="AW501"/>
      <c r="AX501"/>
      <c r="AY501"/>
      <c r="AZ501"/>
      <c r="BA501"/>
      <c r="BB501" s="173"/>
      <c r="BC501" s="173"/>
      <c r="BD501" s="173"/>
      <c r="BE501" s="173"/>
      <c r="BF501" s="173"/>
      <c r="BG501" s="173"/>
      <c r="BH501" s="173"/>
      <c r="BI501" s="173"/>
      <c r="BJ501" s="173"/>
      <c r="BK501" s="173"/>
      <c r="BL501" s="173"/>
      <c r="BM501" s="173"/>
      <c r="BN501"/>
      <c r="BO501"/>
      <c r="BP501"/>
      <c r="BQ501"/>
    </row>
    <row r="502" spans="2:69" ht="25" customHeight="1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 s="173"/>
      <c r="AQ502"/>
      <c r="AR502"/>
      <c r="AS502"/>
      <c r="AT502"/>
      <c r="AU502"/>
      <c r="AV502"/>
      <c r="AW502"/>
      <c r="AX502"/>
      <c r="AY502"/>
      <c r="AZ502"/>
      <c r="BA502"/>
      <c r="BB502" s="173"/>
      <c r="BC502" s="173"/>
      <c r="BD502" s="173"/>
      <c r="BE502" s="173"/>
      <c r="BF502" s="173"/>
      <c r="BG502" s="173"/>
      <c r="BH502" s="173"/>
      <c r="BI502" s="173"/>
      <c r="BJ502" s="173"/>
      <c r="BK502" s="173"/>
      <c r="BL502" s="173"/>
      <c r="BM502" s="173"/>
      <c r="BN502"/>
      <c r="BO502"/>
      <c r="BP502"/>
      <c r="BQ502"/>
    </row>
    <row r="503" spans="2:69" ht="25" customHeight="1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 s="173"/>
      <c r="AQ503"/>
      <c r="AR503"/>
      <c r="AS503"/>
      <c r="AT503"/>
      <c r="AU503"/>
      <c r="AV503"/>
      <c r="AW503"/>
      <c r="AX503"/>
      <c r="AY503"/>
      <c r="AZ503"/>
      <c r="BA503"/>
      <c r="BB503" s="173"/>
      <c r="BC503" s="173"/>
      <c r="BD503" s="173"/>
      <c r="BE503" s="173"/>
      <c r="BF503" s="173"/>
      <c r="BG503" s="173"/>
      <c r="BH503" s="173"/>
      <c r="BI503" s="173"/>
      <c r="BJ503" s="173"/>
      <c r="BK503" s="173"/>
      <c r="BL503" s="173"/>
      <c r="BM503" s="173"/>
      <c r="BN503"/>
      <c r="BO503"/>
      <c r="BP503"/>
      <c r="BQ503"/>
    </row>
    <row r="504" spans="2:69" ht="25" customHeight="1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 s="173"/>
      <c r="AQ504"/>
      <c r="AR504"/>
      <c r="AS504"/>
      <c r="AT504"/>
      <c r="AU504"/>
      <c r="AV504"/>
      <c r="AW504"/>
      <c r="AX504"/>
      <c r="AY504"/>
      <c r="AZ504"/>
      <c r="BA504"/>
      <c r="BB504" s="173"/>
      <c r="BC504" s="173"/>
      <c r="BD504" s="173"/>
      <c r="BE504" s="173"/>
      <c r="BF504" s="173"/>
      <c r="BG504" s="173"/>
      <c r="BH504" s="173"/>
      <c r="BI504" s="173"/>
      <c r="BJ504" s="173"/>
      <c r="BK504" s="173"/>
      <c r="BL504" s="173"/>
      <c r="BM504" s="173"/>
      <c r="BN504"/>
      <c r="BO504"/>
      <c r="BP504"/>
      <c r="BQ504"/>
    </row>
    <row r="505" spans="2:69" ht="25" customHeight="1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 s="173"/>
      <c r="AQ505"/>
      <c r="AR505"/>
      <c r="AS505"/>
      <c r="AT505"/>
      <c r="AU505"/>
      <c r="AV505"/>
      <c r="AW505"/>
      <c r="AX505"/>
      <c r="AY505"/>
      <c r="AZ505"/>
      <c r="BA505"/>
      <c r="BB505" s="173"/>
      <c r="BC505" s="173"/>
      <c r="BD505" s="173"/>
      <c r="BE505" s="173"/>
      <c r="BF505" s="173"/>
      <c r="BG505" s="173"/>
      <c r="BH505" s="173"/>
      <c r="BI505" s="173"/>
      <c r="BJ505" s="173"/>
      <c r="BK505" s="173"/>
      <c r="BL505" s="173"/>
      <c r="BM505" s="173"/>
      <c r="BN505"/>
      <c r="BO505"/>
      <c r="BP505"/>
      <c r="BQ505"/>
    </row>
    <row r="506" spans="2:69" ht="25" customHeight="1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 s="173"/>
      <c r="AQ506"/>
      <c r="AR506"/>
      <c r="AS506"/>
      <c r="AT506"/>
      <c r="AU506"/>
      <c r="AV506"/>
      <c r="AW506"/>
      <c r="AX506"/>
      <c r="AY506"/>
      <c r="AZ506"/>
      <c r="BA506"/>
      <c r="BB506" s="173"/>
      <c r="BC506" s="173"/>
      <c r="BD506" s="173"/>
      <c r="BE506" s="173"/>
      <c r="BF506" s="173"/>
      <c r="BG506" s="173"/>
      <c r="BH506" s="173"/>
      <c r="BI506" s="173"/>
      <c r="BJ506" s="173"/>
      <c r="BK506" s="173"/>
      <c r="BL506" s="173"/>
      <c r="BM506" s="173"/>
      <c r="BN506"/>
      <c r="BO506"/>
      <c r="BP506"/>
      <c r="BQ506"/>
    </row>
    <row r="507" spans="2:69" ht="25" customHeight="1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 s="173"/>
      <c r="AQ507"/>
      <c r="AR507"/>
      <c r="AS507"/>
      <c r="AT507"/>
      <c r="AU507"/>
      <c r="AV507"/>
      <c r="AW507"/>
      <c r="AX507"/>
      <c r="AY507"/>
      <c r="AZ507"/>
      <c r="BA507"/>
      <c r="BB507" s="173"/>
      <c r="BC507" s="173"/>
      <c r="BD507" s="173"/>
      <c r="BE507" s="173"/>
      <c r="BF507" s="173"/>
      <c r="BG507" s="173"/>
      <c r="BH507" s="173"/>
      <c r="BI507" s="173"/>
      <c r="BJ507" s="173"/>
      <c r="BK507" s="173"/>
      <c r="BL507" s="173"/>
      <c r="BM507" s="173"/>
      <c r="BN507"/>
      <c r="BO507"/>
      <c r="BP507"/>
      <c r="BQ507"/>
    </row>
    <row r="508" spans="2:69" ht="25" customHeight="1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 s="173"/>
      <c r="AQ508"/>
      <c r="AR508"/>
      <c r="AS508"/>
      <c r="AT508"/>
      <c r="AU508"/>
      <c r="AV508"/>
      <c r="AW508"/>
      <c r="AX508"/>
      <c r="AY508"/>
      <c r="AZ508"/>
      <c r="BA508"/>
      <c r="BB508" s="173"/>
      <c r="BC508" s="173"/>
      <c r="BD508" s="173"/>
      <c r="BE508" s="173"/>
      <c r="BF508" s="173"/>
      <c r="BG508" s="173"/>
      <c r="BH508" s="173"/>
      <c r="BI508" s="173"/>
      <c r="BJ508" s="173"/>
      <c r="BK508" s="173"/>
      <c r="BL508" s="173"/>
      <c r="BM508" s="173"/>
      <c r="BN508"/>
      <c r="BO508"/>
      <c r="BP508"/>
      <c r="BQ508"/>
    </row>
    <row r="509" spans="2:69" ht="25" customHeight="1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 s="173"/>
      <c r="AQ509"/>
      <c r="AR509"/>
      <c r="AS509"/>
      <c r="AT509"/>
      <c r="AU509"/>
      <c r="AV509"/>
      <c r="AW509"/>
      <c r="AX509"/>
      <c r="AY509"/>
      <c r="AZ509"/>
      <c r="BA509"/>
      <c r="BB509" s="173"/>
      <c r="BC509" s="173"/>
      <c r="BD509" s="173"/>
      <c r="BE509" s="173"/>
      <c r="BF509" s="173"/>
      <c r="BG509" s="173"/>
      <c r="BH509" s="173"/>
      <c r="BI509" s="173"/>
      <c r="BJ509" s="173"/>
      <c r="BK509" s="173"/>
      <c r="BL509" s="173"/>
      <c r="BM509" s="173"/>
      <c r="BN509"/>
      <c r="BO509"/>
      <c r="BP509"/>
      <c r="BQ509"/>
    </row>
    <row r="510" spans="2:69" ht="25" customHeight="1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 s="173"/>
      <c r="AQ510"/>
      <c r="AR510"/>
      <c r="AS510"/>
      <c r="AT510"/>
      <c r="AU510"/>
      <c r="AV510"/>
      <c r="AW510"/>
      <c r="AX510"/>
      <c r="AY510"/>
      <c r="AZ510"/>
      <c r="BA510"/>
      <c r="BB510" s="173"/>
      <c r="BC510" s="173"/>
      <c r="BD510" s="173"/>
      <c r="BE510" s="173"/>
      <c r="BF510" s="173"/>
      <c r="BG510" s="173"/>
      <c r="BH510" s="173"/>
      <c r="BI510" s="173"/>
      <c r="BJ510" s="173"/>
      <c r="BK510" s="173"/>
      <c r="BL510" s="173"/>
      <c r="BM510" s="173"/>
      <c r="BN510"/>
      <c r="BO510"/>
      <c r="BP510"/>
      <c r="BQ510"/>
    </row>
    <row r="511" spans="2:69" ht="25" customHeight="1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 s="173"/>
      <c r="AQ511"/>
      <c r="AR511"/>
      <c r="AS511"/>
      <c r="AT511"/>
      <c r="AU511"/>
      <c r="AV511"/>
      <c r="AW511"/>
      <c r="AX511"/>
      <c r="AY511"/>
      <c r="AZ511"/>
      <c r="BA511"/>
      <c r="BB511" s="173"/>
      <c r="BC511" s="173"/>
      <c r="BD511" s="173"/>
      <c r="BE511" s="173"/>
      <c r="BF511" s="173"/>
      <c r="BG511" s="173"/>
      <c r="BH511" s="173"/>
      <c r="BI511" s="173"/>
      <c r="BJ511" s="173"/>
      <c r="BK511" s="173"/>
      <c r="BL511" s="173"/>
      <c r="BM511" s="173"/>
      <c r="BN511"/>
      <c r="BO511"/>
      <c r="BP511"/>
      <c r="BQ511"/>
    </row>
    <row r="512" spans="2:69" ht="25" customHeight="1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 s="173"/>
      <c r="AQ512"/>
      <c r="AR512"/>
      <c r="AS512"/>
      <c r="AT512"/>
      <c r="AU512"/>
      <c r="AV512"/>
      <c r="AW512"/>
      <c r="AX512"/>
      <c r="AY512"/>
      <c r="AZ512"/>
      <c r="BA512"/>
      <c r="BB512" s="173"/>
      <c r="BC512" s="173"/>
      <c r="BD512" s="173"/>
      <c r="BE512" s="173"/>
      <c r="BF512" s="173"/>
      <c r="BG512" s="173"/>
      <c r="BH512" s="173"/>
      <c r="BI512" s="173"/>
      <c r="BJ512" s="173"/>
      <c r="BK512" s="173"/>
      <c r="BL512" s="173"/>
      <c r="BM512" s="173"/>
      <c r="BN512"/>
      <c r="BO512"/>
      <c r="BP512"/>
      <c r="BQ512"/>
    </row>
    <row r="513" spans="2:69" ht="25" customHeight="1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 s="173"/>
      <c r="AQ513"/>
      <c r="AR513"/>
      <c r="AS513"/>
      <c r="AT513"/>
      <c r="AU513"/>
      <c r="AV513"/>
      <c r="AW513"/>
      <c r="AX513"/>
      <c r="AY513"/>
      <c r="AZ513"/>
      <c r="BA513"/>
      <c r="BB513" s="173"/>
      <c r="BC513" s="173"/>
      <c r="BD513" s="173"/>
      <c r="BE513" s="173"/>
      <c r="BF513" s="173"/>
      <c r="BG513" s="173"/>
      <c r="BH513" s="173"/>
      <c r="BI513" s="173"/>
      <c r="BJ513" s="173"/>
      <c r="BK513" s="173"/>
      <c r="BL513" s="173"/>
      <c r="BM513" s="173"/>
      <c r="BN513"/>
      <c r="BO513"/>
      <c r="BP513"/>
      <c r="BQ513"/>
    </row>
    <row r="514" spans="2:69" ht="25" customHeight="1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 s="173"/>
      <c r="AQ514"/>
      <c r="AR514"/>
      <c r="AS514"/>
      <c r="AT514"/>
      <c r="AU514"/>
      <c r="AV514"/>
      <c r="AW514"/>
      <c r="AX514"/>
      <c r="AY514"/>
      <c r="AZ514"/>
      <c r="BA514"/>
      <c r="BB514" s="173"/>
      <c r="BC514" s="173"/>
      <c r="BD514" s="173"/>
      <c r="BE514" s="173"/>
      <c r="BF514" s="173"/>
      <c r="BG514" s="173"/>
      <c r="BH514" s="173"/>
      <c r="BI514" s="173"/>
      <c r="BJ514" s="173"/>
      <c r="BK514" s="173"/>
      <c r="BL514" s="173"/>
      <c r="BM514" s="173"/>
      <c r="BN514"/>
      <c r="BO514"/>
      <c r="BP514"/>
      <c r="BQ514"/>
    </row>
    <row r="515" spans="2:69" ht="25" customHeight="1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 s="173"/>
      <c r="AQ515"/>
      <c r="AR515"/>
      <c r="AS515"/>
      <c r="AT515"/>
      <c r="AU515"/>
      <c r="AV515"/>
      <c r="AW515"/>
      <c r="AX515"/>
      <c r="AY515"/>
      <c r="AZ515"/>
      <c r="BA515"/>
      <c r="BB515" s="173"/>
      <c r="BC515" s="173"/>
      <c r="BD515" s="173"/>
      <c r="BE515" s="173"/>
      <c r="BF515" s="173"/>
      <c r="BG515" s="173"/>
      <c r="BH515" s="173"/>
      <c r="BI515" s="173"/>
      <c r="BJ515" s="173"/>
      <c r="BK515" s="173"/>
      <c r="BL515" s="173"/>
      <c r="BM515" s="173"/>
      <c r="BN515"/>
      <c r="BO515"/>
      <c r="BP515"/>
      <c r="BQ515"/>
    </row>
    <row r="516" spans="2:69" ht="25" customHeight="1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 s="173"/>
      <c r="AQ516"/>
      <c r="AR516"/>
      <c r="AS516"/>
      <c r="AT516"/>
      <c r="AU516"/>
      <c r="AV516"/>
      <c r="AW516"/>
      <c r="AX516"/>
      <c r="AY516"/>
      <c r="AZ516"/>
      <c r="BA516"/>
      <c r="BB516" s="173"/>
      <c r="BC516" s="173"/>
      <c r="BD516" s="173"/>
      <c r="BE516" s="173"/>
      <c r="BF516" s="173"/>
      <c r="BG516" s="173"/>
      <c r="BH516" s="173"/>
      <c r="BI516" s="173"/>
      <c r="BJ516" s="173"/>
      <c r="BK516" s="173"/>
      <c r="BL516" s="173"/>
      <c r="BM516" s="173"/>
      <c r="BN516"/>
      <c r="BO516"/>
      <c r="BP516"/>
      <c r="BQ516"/>
    </row>
    <row r="517" spans="2:69" ht="25" customHeight="1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 s="173"/>
      <c r="AQ517"/>
      <c r="AR517"/>
      <c r="AS517"/>
      <c r="AT517"/>
      <c r="AU517"/>
      <c r="AV517"/>
      <c r="AW517"/>
      <c r="AX517"/>
      <c r="AY517"/>
      <c r="AZ517"/>
      <c r="BA517"/>
      <c r="BB517" s="173"/>
      <c r="BC517" s="173"/>
      <c r="BD517" s="173"/>
      <c r="BE517" s="173"/>
      <c r="BF517" s="173"/>
      <c r="BG517" s="173"/>
      <c r="BH517" s="173"/>
      <c r="BI517" s="173"/>
      <c r="BJ517" s="173"/>
      <c r="BK517" s="173"/>
      <c r="BL517" s="173"/>
      <c r="BM517" s="173"/>
      <c r="BN517"/>
      <c r="BO517"/>
      <c r="BP517"/>
      <c r="BQ517"/>
    </row>
    <row r="518" spans="2:69" ht="25" customHeight="1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 s="173"/>
      <c r="AQ518"/>
      <c r="AR518"/>
      <c r="AS518"/>
      <c r="AT518"/>
      <c r="AU518"/>
      <c r="AV518"/>
      <c r="AW518"/>
      <c r="AX518"/>
      <c r="AY518"/>
      <c r="AZ518"/>
      <c r="BA518"/>
      <c r="BB518" s="173"/>
      <c r="BC518" s="173"/>
      <c r="BD518" s="173"/>
      <c r="BE518" s="173"/>
      <c r="BF518" s="173"/>
      <c r="BG518" s="173"/>
      <c r="BH518" s="173"/>
      <c r="BI518" s="173"/>
      <c r="BJ518" s="173"/>
      <c r="BK518" s="173"/>
      <c r="BL518" s="173"/>
      <c r="BM518" s="173"/>
      <c r="BN518"/>
      <c r="BO518"/>
      <c r="BP518"/>
      <c r="BQ518"/>
    </row>
    <row r="519" spans="2:69" ht="25" customHeight="1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 s="173"/>
      <c r="AQ519"/>
      <c r="AR519"/>
      <c r="AS519"/>
      <c r="AT519"/>
      <c r="AU519"/>
      <c r="AV519"/>
      <c r="AW519"/>
      <c r="AX519"/>
      <c r="AY519"/>
      <c r="AZ519"/>
      <c r="BA519"/>
      <c r="BB519" s="173"/>
      <c r="BC519" s="173"/>
      <c r="BD519" s="173"/>
      <c r="BE519" s="173"/>
      <c r="BF519" s="173"/>
      <c r="BG519" s="173"/>
      <c r="BH519" s="173"/>
      <c r="BI519" s="173"/>
      <c r="BJ519" s="173"/>
      <c r="BK519" s="173"/>
      <c r="BL519" s="173"/>
      <c r="BM519" s="173"/>
      <c r="BN519"/>
      <c r="BO519"/>
      <c r="BP519"/>
      <c r="BQ519"/>
    </row>
    <row r="520" spans="2:69" ht="25" customHeight="1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 s="173"/>
      <c r="AQ520"/>
      <c r="AR520"/>
      <c r="AS520"/>
      <c r="AT520"/>
      <c r="AU520"/>
      <c r="AV520"/>
      <c r="AW520"/>
      <c r="AX520"/>
      <c r="AY520"/>
      <c r="AZ520"/>
      <c r="BA520"/>
      <c r="BB520" s="173"/>
      <c r="BC520" s="173"/>
      <c r="BD520" s="173"/>
      <c r="BE520" s="173"/>
      <c r="BF520" s="173"/>
      <c r="BG520" s="173"/>
      <c r="BH520" s="173"/>
      <c r="BI520" s="173"/>
      <c r="BJ520" s="173"/>
      <c r="BK520" s="173"/>
      <c r="BL520" s="173"/>
      <c r="BM520" s="173"/>
      <c r="BN520"/>
      <c r="BO520"/>
      <c r="BP520"/>
      <c r="BQ520"/>
    </row>
    <row r="521" spans="2:69" ht="25" customHeight="1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 s="173"/>
      <c r="AQ521"/>
      <c r="AR521"/>
      <c r="AS521"/>
      <c r="AT521"/>
      <c r="AU521"/>
      <c r="AV521"/>
      <c r="AW521"/>
      <c r="AX521"/>
      <c r="AY521"/>
      <c r="AZ521"/>
      <c r="BA521"/>
      <c r="BB521" s="173"/>
      <c r="BC521" s="173"/>
      <c r="BD521" s="173"/>
      <c r="BE521" s="173"/>
      <c r="BF521" s="173"/>
      <c r="BG521" s="173"/>
      <c r="BH521" s="173"/>
      <c r="BI521" s="173"/>
      <c r="BJ521" s="173"/>
      <c r="BK521" s="173"/>
      <c r="BL521" s="173"/>
      <c r="BM521" s="173"/>
      <c r="BN521"/>
      <c r="BO521"/>
      <c r="BP521"/>
      <c r="BQ521"/>
    </row>
    <row r="522" spans="2:69" ht="25" customHeight="1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 s="173"/>
      <c r="AQ522"/>
      <c r="AR522"/>
      <c r="AS522"/>
      <c r="AT522"/>
      <c r="AU522"/>
      <c r="AV522"/>
      <c r="AW522"/>
      <c r="AX522"/>
      <c r="AY522"/>
      <c r="AZ522"/>
      <c r="BA522"/>
      <c r="BB522" s="173"/>
      <c r="BC522" s="173"/>
      <c r="BD522" s="173"/>
      <c r="BE522" s="173"/>
      <c r="BF522" s="173"/>
      <c r="BG522" s="173"/>
      <c r="BH522" s="173"/>
      <c r="BI522" s="173"/>
      <c r="BJ522" s="173"/>
      <c r="BK522" s="173"/>
      <c r="BL522" s="173"/>
      <c r="BM522" s="173"/>
      <c r="BN522"/>
      <c r="BO522"/>
      <c r="BP522"/>
      <c r="BQ522"/>
    </row>
    <row r="523" spans="2:69" ht="25" customHeight="1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 s="173"/>
      <c r="AQ523"/>
      <c r="AR523"/>
      <c r="AS523"/>
      <c r="AT523"/>
      <c r="AU523"/>
      <c r="AV523"/>
      <c r="AW523"/>
      <c r="AX523"/>
      <c r="AY523"/>
      <c r="AZ523"/>
      <c r="BA523"/>
      <c r="BB523" s="173"/>
      <c r="BC523" s="173"/>
      <c r="BD523" s="173"/>
      <c r="BE523" s="173"/>
      <c r="BF523" s="173"/>
      <c r="BG523" s="173"/>
      <c r="BH523" s="173"/>
      <c r="BI523" s="173"/>
      <c r="BJ523" s="173"/>
      <c r="BK523" s="173"/>
      <c r="BL523" s="173"/>
      <c r="BM523" s="173"/>
      <c r="BN523"/>
      <c r="BO523"/>
      <c r="BP523"/>
      <c r="BQ523"/>
    </row>
    <row r="524" spans="2:69" ht="25" customHeight="1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 s="173"/>
      <c r="AQ524"/>
      <c r="AR524"/>
      <c r="AS524"/>
      <c r="AT524"/>
      <c r="AU524"/>
      <c r="AV524"/>
      <c r="AW524"/>
      <c r="AX524"/>
      <c r="AY524"/>
      <c r="AZ524"/>
      <c r="BA524"/>
      <c r="BB524" s="173"/>
      <c r="BC524" s="173"/>
      <c r="BD524" s="173"/>
      <c r="BE524" s="173"/>
      <c r="BF524" s="173"/>
      <c r="BG524" s="173"/>
      <c r="BH524" s="173"/>
      <c r="BI524" s="173"/>
      <c r="BJ524" s="173"/>
      <c r="BK524" s="173"/>
      <c r="BL524" s="173"/>
      <c r="BM524" s="173"/>
      <c r="BN524"/>
      <c r="BO524"/>
      <c r="BP524"/>
      <c r="BQ524"/>
    </row>
    <row r="525" spans="2:69" ht="25" customHeight="1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 s="173"/>
      <c r="AQ525"/>
      <c r="AR525"/>
      <c r="AS525"/>
      <c r="AT525"/>
      <c r="AU525"/>
      <c r="AV525"/>
      <c r="AW525"/>
      <c r="AX525"/>
      <c r="AY525"/>
      <c r="AZ525"/>
      <c r="BA525"/>
      <c r="BB525" s="173"/>
      <c r="BC525" s="173"/>
      <c r="BD525" s="173"/>
      <c r="BE525" s="173"/>
      <c r="BF525" s="173"/>
      <c r="BG525" s="173"/>
      <c r="BH525" s="173"/>
      <c r="BI525" s="173"/>
      <c r="BJ525" s="173"/>
      <c r="BK525" s="173"/>
      <c r="BL525" s="173"/>
      <c r="BM525" s="173"/>
      <c r="BN525"/>
      <c r="BO525"/>
      <c r="BP525"/>
      <c r="BQ525"/>
    </row>
    <row r="526" spans="2:69" ht="25" customHeight="1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 s="173"/>
      <c r="AQ526"/>
      <c r="AR526"/>
      <c r="AS526"/>
      <c r="AT526"/>
      <c r="AU526"/>
      <c r="AV526"/>
      <c r="AW526"/>
      <c r="AX526"/>
      <c r="AY526"/>
      <c r="AZ526"/>
      <c r="BA526"/>
      <c r="BB526" s="173"/>
      <c r="BC526" s="173"/>
      <c r="BD526" s="173"/>
      <c r="BE526" s="173"/>
      <c r="BF526" s="173"/>
      <c r="BG526" s="173"/>
      <c r="BH526" s="173"/>
      <c r="BI526" s="173"/>
      <c r="BJ526" s="173"/>
      <c r="BK526" s="173"/>
      <c r="BL526" s="173"/>
      <c r="BM526" s="173"/>
      <c r="BN526"/>
      <c r="BO526"/>
      <c r="BP526"/>
      <c r="BQ526"/>
    </row>
    <row r="527" spans="2:69" ht="25" customHeight="1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 s="173"/>
      <c r="AQ527"/>
      <c r="AR527"/>
      <c r="AS527"/>
      <c r="AT527"/>
      <c r="AU527"/>
      <c r="AV527"/>
      <c r="AW527"/>
      <c r="AX527"/>
      <c r="AY527"/>
      <c r="AZ527"/>
      <c r="BA527"/>
      <c r="BB527" s="173"/>
      <c r="BC527" s="173"/>
      <c r="BD527" s="173"/>
      <c r="BE527" s="173"/>
      <c r="BF527" s="173"/>
      <c r="BG527" s="173"/>
      <c r="BH527" s="173"/>
      <c r="BI527" s="173"/>
      <c r="BJ527" s="173"/>
      <c r="BK527" s="173"/>
      <c r="BL527" s="173"/>
      <c r="BM527" s="173"/>
      <c r="BN527"/>
      <c r="BO527"/>
      <c r="BP527"/>
      <c r="BQ527"/>
    </row>
    <row r="528" spans="2:69" ht="25" customHeight="1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 s="173"/>
      <c r="AQ528"/>
      <c r="AR528"/>
      <c r="AS528"/>
      <c r="AT528"/>
      <c r="AU528"/>
      <c r="AV528"/>
      <c r="AW528"/>
      <c r="AX528"/>
      <c r="AY528"/>
      <c r="AZ528"/>
      <c r="BA528"/>
      <c r="BB528" s="173"/>
      <c r="BC528" s="173"/>
      <c r="BD528" s="173"/>
      <c r="BE528" s="173"/>
      <c r="BF528" s="173"/>
      <c r="BG528" s="173"/>
      <c r="BH528" s="173"/>
      <c r="BI528" s="173"/>
      <c r="BJ528" s="173"/>
      <c r="BK528" s="173"/>
      <c r="BL528" s="173"/>
      <c r="BM528" s="173"/>
      <c r="BN528"/>
      <c r="BO528"/>
      <c r="BP528"/>
      <c r="BQ528"/>
    </row>
    <row r="529" spans="2:69" ht="25" customHeight="1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 s="173"/>
      <c r="AQ529"/>
      <c r="AR529"/>
      <c r="AS529"/>
      <c r="AT529"/>
      <c r="AU529"/>
      <c r="AV529"/>
      <c r="AW529"/>
      <c r="AX529"/>
      <c r="AY529"/>
      <c r="AZ529"/>
      <c r="BA529"/>
      <c r="BB529" s="173"/>
      <c r="BC529" s="173"/>
      <c r="BD529" s="173"/>
      <c r="BE529" s="173"/>
      <c r="BF529" s="173"/>
      <c r="BG529" s="173"/>
      <c r="BH529" s="173"/>
      <c r="BI529" s="173"/>
      <c r="BJ529" s="173"/>
      <c r="BK529" s="173"/>
      <c r="BL529" s="173"/>
      <c r="BM529" s="173"/>
      <c r="BN529"/>
      <c r="BO529"/>
      <c r="BP529"/>
      <c r="BQ529"/>
    </row>
    <row r="530" spans="2:69" ht="25" customHeight="1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 s="173"/>
      <c r="AQ530"/>
      <c r="AR530"/>
      <c r="AS530"/>
      <c r="AT530"/>
      <c r="AU530"/>
      <c r="AV530"/>
      <c r="AW530"/>
      <c r="AX530"/>
      <c r="AY530"/>
      <c r="AZ530"/>
      <c r="BA530"/>
      <c r="BB530" s="173"/>
      <c r="BC530" s="173"/>
      <c r="BD530" s="173"/>
      <c r="BE530" s="173"/>
      <c r="BF530" s="173"/>
      <c r="BG530" s="173"/>
      <c r="BH530" s="173"/>
      <c r="BI530" s="173"/>
      <c r="BJ530" s="173"/>
      <c r="BK530" s="173"/>
      <c r="BL530" s="173"/>
      <c r="BM530" s="173"/>
      <c r="BN530"/>
      <c r="BO530"/>
      <c r="BP530"/>
      <c r="BQ530"/>
    </row>
    <row r="531" spans="2:69" ht="25" customHeight="1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 s="173"/>
      <c r="AQ531"/>
      <c r="AR531"/>
      <c r="AS531"/>
      <c r="AT531"/>
      <c r="AU531"/>
      <c r="AV531"/>
      <c r="AW531"/>
      <c r="AX531"/>
      <c r="AY531"/>
      <c r="AZ531"/>
      <c r="BA531"/>
      <c r="BB531" s="173"/>
      <c r="BC531" s="173"/>
      <c r="BD531" s="173"/>
      <c r="BE531" s="173"/>
      <c r="BF531" s="173"/>
      <c r="BG531" s="173"/>
      <c r="BH531" s="173"/>
      <c r="BI531" s="173"/>
      <c r="BJ531" s="173"/>
      <c r="BK531" s="173"/>
      <c r="BL531" s="173"/>
      <c r="BM531" s="173"/>
      <c r="BN531"/>
      <c r="BO531"/>
      <c r="BP531"/>
      <c r="BQ531"/>
    </row>
    <row r="532" spans="2:69" ht="25" customHeight="1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 s="173"/>
      <c r="AQ532"/>
      <c r="AR532"/>
      <c r="AS532"/>
      <c r="AT532"/>
      <c r="AU532"/>
      <c r="AV532"/>
      <c r="AW532"/>
      <c r="AX532"/>
      <c r="AY532"/>
      <c r="AZ532"/>
      <c r="BA532"/>
      <c r="BB532" s="173"/>
      <c r="BC532" s="173"/>
      <c r="BD532" s="173"/>
      <c r="BE532" s="173"/>
      <c r="BF532" s="173"/>
      <c r="BG532" s="173"/>
      <c r="BH532" s="173"/>
      <c r="BI532" s="173"/>
      <c r="BJ532" s="173"/>
      <c r="BK532" s="173"/>
      <c r="BL532" s="173"/>
      <c r="BM532" s="173"/>
      <c r="BN532"/>
      <c r="BO532"/>
      <c r="BP532"/>
      <c r="BQ532"/>
    </row>
    <row r="533" spans="2:69" ht="25" customHeight="1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 s="173"/>
      <c r="AQ533"/>
      <c r="AR533"/>
      <c r="AS533"/>
      <c r="AT533"/>
      <c r="AU533"/>
      <c r="AV533"/>
      <c r="AW533"/>
      <c r="AX533"/>
      <c r="AY533"/>
      <c r="AZ533"/>
      <c r="BA533"/>
      <c r="BB533" s="173"/>
      <c r="BC533" s="173"/>
      <c r="BD533" s="173"/>
      <c r="BE533" s="173"/>
      <c r="BF533" s="173"/>
      <c r="BG533" s="173"/>
      <c r="BH533" s="173"/>
      <c r="BI533" s="173"/>
      <c r="BJ533" s="173"/>
      <c r="BK533" s="173"/>
      <c r="BL533" s="173"/>
      <c r="BM533" s="173"/>
      <c r="BN533"/>
      <c r="BO533"/>
      <c r="BP533"/>
      <c r="BQ533"/>
    </row>
    <row r="534" spans="2:69" ht="25" customHeight="1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 s="173"/>
      <c r="AQ534"/>
      <c r="AR534"/>
      <c r="AS534"/>
      <c r="AT534"/>
      <c r="AU534"/>
      <c r="AV534"/>
      <c r="AW534"/>
      <c r="AX534"/>
      <c r="AY534"/>
      <c r="AZ534"/>
      <c r="BA534"/>
      <c r="BB534" s="173"/>
      <c r="BC534" s="173"/>
      <c r="BD534" s="173"/>
      <c r="BE534" s="173"/>
      <c r="BF534" s="173"/>
      <c r="BG534" s="173"/>
      <c r="BH534" s="173"/>
      <c r="BI534" s="173"/>
      <c r="BJ534" s="173"/>
      <c r="BK534" s="173"/>
      <c r="BL534" s="173"/>
      <c r="BM534" s="173"/>
      <c r="BN534"/>
      <c r="BO534"/>
      <c r="BP534"/>
      <c r="BQ534"/>
    </row>
  </sheetData>
  <sheetProtection formatCells="0" formatColumns="0" formatRows="0" insertRows="0" insertHyperlinks="0" selectLockedCells="1" autoFilter="0"/>
  <autoFilter ref="A4:IS54" xr:uid="{A298F852-E81A-4441-92CB-AAE232FEBD91}"/>
  <customSheetViews>
    <customSheetView guid="{C398F29A-5737-4E6B-A4F1-1F8230C59EE7}" showPageBreaks="1" showGridLines="0" printArea="1" hiddenRows="1" hiddenColumns="1" topLeftCell="A2">
      <pane xSplit="5" ySplit="9" topLeftCell="F11" activePane="bottomRight" state="frozen"/>
      <selection pane="bottomRight" activeCell="D15" sqref="D15"/>
      <pageMargins left="0" right="0" top="0" bottom="0" header="0" footer="0"/>
      <pageSetup paperSize="9" orientation="portrait" r:id="rId1"/>
    </customSheetView>
    <customSheetView guid="{3067AF3C-3C8A-437E-A8D7-E1E37AA47C54}" showPageBreaks="1" showGridLines="0" printArea="1" hiddenRows="1" hiddenColumns="1" topLeftCell="A2">
      <pane xSplit="5" ySplit="9" topLeftCell="F23" activePane="bottomRight" state="frozen"/>
      <selection pane="bottomRight" activeCell="D25" sqref="D25"/>
      <pageMargins left="0" right="0" top="0" bottom="0" header="0" footer="0"/>
      <pageSetup paperSize="9" orientation="portrait" r:id="rId2"/>
    </customSheetView>
  </customSheetViews>
  <mergeCells count="32">
    <mergeCell ref="J3:J4"/>
    <mergeCell ref="I3:I4"/>
    <mergeCell ref="G3:G4"/>
    <mergeCell ref="BO3:BO4"/>
    <mergeCell ref="AN3:AN4"/>
    <mergeCell ref="K3:K4"/>
    <mergeCell ref="AZ3:AZ4"/>
    <mergeCell ref="BA3:BA4"/>
    <mergeCell ref="AD3:AD4"/>
    <mergeCell ref="AL3:AL4"/>
    <mergeCell ref="AE3:AE4"/>
    <mergeCell ref="AQ3:AQ4"/>
    <mergeCell ref="AP3:AP4"/>
    <mergeCell ref="AY3:AY4"/>
    <mergeCell ref="BN3:BN4"/>
    <mergeCell ref="B3:B4"/>
    <mergeCell ref="C3:C4"/>
    <mergeCell ref="E3:E4"/>
    <mergeCell ref="D3:D4"/>
    <mergeCell ref="H3:H4"/>
    <mergeCell ref="F3:F4"/>
    <mergeCell ref="BQ3:BQ4"/>
    <mergeCell ref="AO3:AO4"/>
    <mergeCell ref="L3:N3"/>
    <mergeCell ref="O3:Q3"/>
    <mergeCell ref="R3:T3"/>
    <mergeCell ref="U3:W3"/>
    <mergeCell ref="X3:Z3"/>
    <mergeCell ref="AA3:AC3"/>
    <mergeCell ref="AX3:AX4"/>
    <mergeCell ref="BP3:BP4"/>
    <mergeCell ref="AM3:AM4"/>
  </mergeCells>
  <phoneticPr fontId="69" type="noConversion"/>
  <conditionalFormatting sqref="AO5:AO21 AO24:AO48">
    <cfRule type="cellIs" dxfId="36" priority="1" operator="greaterThanOrEqual">
      <formula>90</formula>
    </cfRule>
    <cfRule type="cellIs" dxfId="35" priority="2" operator="lessThan">
      <formula>0</formula>
    </cfRule>
  </conditionalFormatting>
  <conditionalFormatting sqref="AO46 AO5:AO21 AO36">
    <cfRule type="cellIs" dxfId="34" priority="3" operator="between">
      <formula>75</formula>
      <formula>89</formula>
    </cfRule>
    <cfRule type="cellIs" dxfId="33" priority="4" operator="between">
      <formula>61</formula>
      <formula>74</formula>
    </cfRule>
    <cfRule type="cellIs" dxfId="32" priority="5" operator="between">
      <formula>0</formula>
      <formula>60</formula>
    </cfRule>
  </conditionalFormatting>
  <conditionalFormatting sqref="AO17:AO18 AO24:AO47">
    <cfRule type="cellIs" dxfId="31" priority="111" operator="between">
      <formula>61</formula>
      <formula>74</formula>
    </cfRule>
  </conditionalFormatting>
  <conditionalFormatting sqref="AO17:AO18 AO24:AO48">
    <cfRule type="cellIs" dxfId="30" priority="112" operator="between">
      <formula>0</formula>
      <formula>60</formula>
    </cfRule>
  </conditionalFormatting>
  <conditionalFormatting sqref="AO24:AO48 AO17:AO18">
    <cfRule type="cellIs" dxfId="29" priority="107" operator="between">
      <formula>75</formula>
      <formula>89</formula>
    </cfRule>
  </conditionalFormatting>
  <conditionalFormatting sqref="AO37">
    <cfRule type="cellIs" dxfId="28" priority="20" operator="between">
      <formula>75</formula>
      <formula>89</formula>
    </cfRule>
    <cfRule type="cellIs" dxfId="27" priority="21" operator="between">
      <formula>61</formula>
      <formula>74</formula>
    </cfRule>
    <cfRule type="cellIs" dxfId="26" priority="22" operator="between">
      <formula>0</formula>
      <formula>60</formula>
    </cfRule>
  </conditionalFormatting>
  <conditionalFormatting sqref="AO44">
    <cfRule type="cellIs" dxfId="25" priority="270" operator="between">
      <formula>75</formula>
      <formula>89</formula>
    </cfRule>
    <cfRule type="cellIs" dxfId="24" priority="271" operator="between">
      <formula>61</formula>
      <formula>74</formula>
    </cfRule>
    <cfRule type="cellIs" dxfId="23" priority="272" operator="between">
      <formula>0</formula>
      <formula>60</formula>
    </cfRule>
  </conditionalFormatting>
  <conditionalFormatting sqref="AO48">
    <cfRule type="cellIs" dxfId="22" priority="12" operator="between">
      <formula>61</formula>
      <formula>74</formula>
    </cfRule>
  </conditionalFormatting>
  <conditionalFormatting sqref="BQ46 BQ5:BQ10 BQ36">
    <cfRule type="cellIs" dxfId="21" priority="7" operator="between">
      <formula>0.86</formula>
      <formula>1</formula>
    </cfRule>
    <cfRule type="cellIs" dxfId="20" priority="8" operator="between">
      <formula>0.71</formula>
      <formula>0.85</formula>
    </cfRule>
    <cfRule type="cellIs" dxfId="19" priority="9" operator="between">
      <formula>0</formula>
      <formula>0.7</formula>
    </cfRule>
  </conditionalFormatting>
  <conditionalFormatting sqref="BQ5:BQ21 BQ24:BQ48">
    <cfRule type="cellIs" dxfId="18" priority="6" operator="greaterThan">
      <formula>1</formula>
    </cfRule>
  </conditionalFormatting>
  <conditionalFormatting sqref="BQ11:BQ21 BQ37">
    <cfRule type="cellIs" dxfId="17" priority="25" operator="between">
      <formula>0.86</formula>
      <formula>1</formula>
    </cfRule>
    <cfRule type="cellIs" dxfId="16" priority="26" operator="between">
      <formula>0.71</formula>
      <formula>0.85</formula>
    </cfRule>
    <cfRule type="cellIs" dxfId="15" priority="27" operator="between">
      <formula>0</formula>
      <formula>0.7</formula>
    </cfRule>
  </conditionalFormatting>
  <conditionalFormatting sqref="BQ17:BQ18 BQ24:BQ48">
    <cfRule type="cellIs" dxfId="14" priority="17" operator="between">
      <formula>0.71</formula>
      <formula>0.85</formula>
    </cfRule>
    <cfRule type="cellIs" dxfId="13" priority="18" operator="between">
      <formula>0</formula>
      <formula>0.7</formula>
    </cfRule>
  </conditionalFormatting>
  <conditionalFormatting sqref="BQ24:BQ48 BQ17:BQ18">
    <cfRule type="cellIs" dxfId="12" priority="16" operator="between">
      <formula>0.86</formula>
      <formula>1</formula>
    </cfRule>
  </conditionalFormatting>
  <conditionalFormatting sqref="BQ44">
    <cfRule type="cellIs" dxfId="11" priority="277" operator="between">
      <formula>0.86</formula>
      <formula>1</formula>
    </cfRule>
    <cfRule type="cellIs" dxfId="10" priority="278" operator="between">
      <formula>0.71</formula>
      <formula>0.85</formula>
    </cfRule>
    <cfRule type="cellIs" dxfId="9" priority="279" operator="between">
      <formula>0</formula>
      <formula>0.7</formula>
    </cfRule>
  </conditionalFormatting>
  <dataValidations disablePrompts="1" count="1">
    <dataValidation type="list" showInputMessage="1" showErrorMessage="1" sqref="F65345:K65347" xr:uid="{AB3D71D8-5A7E-444A-AC47-6C5CBDE29ED3}">
      <formula1>#REF!</formula1>
    </dataValidation>
  </dataValidations>
  <hyperlinks>
    <hyperlink ref="C19" location="FGS!A1" display="FGS CONSTRUTORA E SERVIÇOS LTDA" xr:uid="{CD9624CA-F0F3-4F92-98D1-F65AE1AE7272}"/>
  </hyperlinks>
  <pageMargins left="0.51181102362204722" right="0.51181102362204722" top="0.78740157480314965" bottom="0.78740157480314965" header="0.31496062992125984" footer="0.31496062992125984"/>
  <pageSetup paperSize="9" scale="15" orientation="landscape" r:id="rId3"/>
  <ignoredErrors>
    <ignoredError sqref="BA47:BA50 BA5:BA6 BA37:BA45 BA23:BA35 BA7:BA21" formulaRange="1"/>
    <ignoredError sqref="BR52" numberStoredAsText="1"/>
    <ignoredError sqref="BE13 BF18:BF19 BF38 BF27 BE45" unlockedFormula="1"/>
  </ignoredErrors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7FAB8-2140-42FE-8D8F-7F073B009DE3}">
  <sheetPr>
    <tabColor rgb="FFFFC000"/>
  </sheetPr>
  <dimension ref="A1:IS22"/>
  <sheetViews>
    <sheetView showGridLines="0" zoomScale="80" zoomScaleNormal="80" workbookViewId="0">
      <pane xSplit="4" ySplit="4" topLeftCell="H5" activePane="bottomRight" state="frozen"/>
      <selection pane="topRight" activeCell="E1" sqref="E1"/>
      <selection pane="bottomLeft" activeCell="A5" sqref="A5"/>
      <selection pane="bottomRight" activeCell="AF21" sqref="AF21"/>
    </sheetView>
  </sheetViews>
  <sheetFormatPr defaultRowHeight="14.5" outlineLevelCol="1"/>
  <cols>
    <col min="1" max="1" width="1.54296875" customWidth="1"/>
    <col min="2" max="2" width="8.54296875" customWidth="1"/>
    <col min="3" max="3" width="28.453125" customWidth="1"/>
    <col min="4" max="4" width="14.6328125" customWidth="1"/>
    <col min="5" max="5" width="31" customWidth="1"/>
    <col min="6" max="6" width="13.54296875" customWidth="1"/>
    <col min="7" max="7" width="12.7265625" customWidth="1"/>
    <col min="8" max="8" width="14.453125" customWidth="1"/>
    <col min="9" max="9" width="16.453125" customWidth="1"/>
    <col min="10" max="11" width="14.81640625" customWidth="1"/>
    <col min="12" max="29" width="12.54296875" hidden="1" customWidth="1" outlineLevel="1"/>
    <col min="30" max="30" width="14.54296875" customWidth="1" collapsed="1"/>
    <col min="31" max="31" width="14.54296875" customWidth="1"/>
    <col min="32" max="37" width="18.54296875" customWidth="1" outlineLevel="1"/>
    <col min="38" max="40" width="14.54296875" customWidth="1"/>
    <col min="41" max="41" width="12.1796875" customWidth="1"/>
    <col min="42" max="42" width="34.1796875" style="173" customWidth="1"/>
    <col min="43" max="43" width="17.81640625" customWidth="1"/>
    <col min="44" max="48" width="15.54296875" customWidth="1" outlineLevel="1"/>
    <col min="49" max="49" width="17.81640625" customWidth="1"/>
    <col min="50" max="50" width="17.7265625" customWidth="1"/>
    <col min="51" max="52" width="18.54296875" customWidth="1"/>
    <col min="53" max="64" width="18.54296875" style="173" customWidth="1" outlineLevel="1"/>
    <col min="65" max="65" width="14.54296875" customWidth="1"/>
    <col min="66" max="66" width="18.54296875" customWidth="1"/>
    <col min="67" max="67" width="17.81640625" customWidth="1"/>
    <col min="68" max="68" width="16.90625" customWidth="1"/>
    <col min="69" max="69" width="10.1796875" customWidth="1"/>
  </cols>
  <sheetData>
    <row r="1" spans="1:253" s="1" customFormat="1" ht="30.75" customHeight="1">
      <c r="A1" s="67"/>
      <c r="B1" s="70" t="s">
        <v>0</v>
      </c>
      <c r="C1" s="51"/>
      <c r="D1" s="51"/>
      <c r="E1" s="52" t="s">
        <v>1</v>
      </c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 t="s">
        <v>2</v>
      </c>
      <c r="W1" s="51" t="s">
        <v>2</v>
      </c>
      <c r="X1" s="51"/>
      <c r="Y1" s="51"/>
      <c r="Z1" s="51"/>
      <c r="AA1" s="51"/>
      <c r="AB1" s="51"/>
      <c r="AC1" s="51"/>
      <c r="AD1" s="62">
        <v>46070</v>
      </c>
      <c r="AE1" s="63">
        <f>AD1-AD47</f>
        <v>46070</v>
      </c>
      <c r="AF1" s="64"/>
      <c r="AG1" s="53" t="s">
        <v>2</v>
      </c>
      <c r="AH1" s="54" t="s">
        <v>2</v>
      </c>
      <c r="AI1" s="53"/>
      <c r="AJ1" s="55" t="s">
        <v>2</v>
      </c>
      <c r="AK1" s="55" t="s">
        <v>2</v>
      </c>
      <c r="AL1" s="56" t="s">
        <v>2</v>
      </c>
      <c r="AM1" s="56" t="s">
        <v>2</v>
      </c>
      <c r="AN1" s="65">
        <f ca="1">TODAY()</f>
        <v>46203</v>
      </c>
      <c r="AO1" s="53" t="s">
        <v>2</v>
      </c>
      <c r="AP1" s="162" t="s">
        <v>2</v>
      </c>
      <c r="AQ1" s="57" t="s">
        <v>2</v>
      </c>
      <c r="AR1" s="58" t="s">
        <v>2</v>
      </c>
      <c r="AS1" s="53"/>
      <c r="AT1" s="53"/>
      <c r="AU1" s="53"/>
      <c r="AV1" s="53"/>
      <c r="AW1" s="53" t="s">
        <v>2</v>
      </c>
      <c r="AX1" s="59" t="s">
        <v>2</v>
      </c>
      <c r="AY1" s="53"/>
      <c r="AZ1" s="53" t="s">
        <v>2</v>
      </c>
      <c r="BA1" s="163"/>
      <c r="BB1" s="163"/>
      <c r="BC1" s="163"/>
      <c r="BD1" s="163"/>
      <c r="BE1" s="163"/>
      <c r="BF1" s="163"/>
      <c r="BG1" s="163"/>
      <c r="BH1" s="163"/>
      <c r="BI1" s="163"/>
      <c r="BJ1" s="163"/>
      <c r="BK1" s="163"/>
      <c r="BL1" s="163"/>
      <c r="BM1" s="53"/>
      <c r="BN1" s="53"/>
      <c r="BO1" s="53"/>
      <c r="BP1" s="53"/>
      <c r="BQ1" s="10"/>
      <c r="BR1" s="16"/>
      <c r="BS1" s="10"/>
      <c r="BT1" s="10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</row>
    <row r="2" spans="1:253" s="1" customFormat="1" ht="6" customHeight="1" thickBot="1">
      <c r="A2" s="66"/>
      <c r="B2" s="60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163"/>
      <c r="AQ2" s="53"/>
      <c r="AR2" s="53"/>
      <c r="AS2" s="53"/>
      <c r="AT2" s="53"/>
      <c r="AU2" s="53"/>
      <c r="AV2" s="53"/>
      <c r="AW2" s="53"/>
      <c r="AX2" s="61"/>
      <c r="AY2" s="61"/>
      <c r="AZ2" s="61"/>
      <c r="BA2" s="163"/>
      <c r="BB2" s="163"/>
      <c r="BC2" s="163"/>
      <c r="BD2" s="163"/>
      <c r="BE2" s="163"/>
      <c r="BF2" s="163"/>
      <c r="BG2" s="163"/>
      <c r="BH2" s="163"/>
      <c r="BI2" s="163"/>
      <c r="BJ2" s="163"/>
      <c r="BK2" s="163"/>
      <c r="BL2" s="163"/>
      <c r="BM2" s="53"/>
      <c r="BN2" s="53"/>
      <c r="BO2" s="53"/>
      <c r="BP2" s="53"/>
      <c r="BQ2" s="11" t="s">
        <v>2</v>
      </c>
      <c r="BR2" s="10"/>
      <c r="BS2" s="10"/>
      <c r="BT2" s="10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</row>
    <row r="3" spans="1:253" s="1" customFormat="1" ht="18" customHeight="1" thickBot="1">
      <c r="A3" s="68"/>
      <c r="B3" s="236" t="s">
        <v>3</v>
      </c>
      <c r="C3" s="235" t="s">
        <v>4</v>
      </c>
      <c r="D3" s="235" t="s">
        <v>5</v>
      </c>
      <c r="E3" s="235" t="s">
        <v>6</v>
      </c>
      <c r="F3" s="235" t="s">
        <v>7</v>
      </c>
      <c r="G3" s="235" t="s">
        <v>8</v>
      </c>
      <c r="H3" s="235" t="s">
        <v>9</v>
      </c>
      <c r="I3" s="235" t="s">
        <v>10</v>
      </c>
      <c r="J3" s="235" t="s">
        <v>11</v>
      </c>
      <c r="K3" s="239" t="s">
        <v>12</v>
      </c>
      <c r="L3" s="241" t="s">
        <v>13</v>
      </c>
      <c r="M3" s="235"/>
      <c r="N3" s="235"/>
      <c r="O3" s="235" t="s">
        <v>14</v>
      </c>
      <c r="P3" s="235"/>
      <c r="Q3" s="235"/>
      <c r="R3" s="235" t="s">
        <v>15</v>
      </c>
      <c r="S3" s="235"/>
      <c r="T3" s="235"/>
      <c r="U3" s="235" t="s">
        <v>16</v>
      </c>
      <c r="V3" s="235"/>
      <c r="W3" s="235"/>
      <c r="X3" s="235" t="s">
        <v>17</v>
      </c>
      <c r="Y3" s="235"/>
      <c r="Z3" s="235"/>
      <c r="AA3" s="235" t="s">
        <v>18</v>
      </c>
      <c r="AB3" s="235"/>
      <c r="AC3" s="239"/>
      <c r="AD3" s="244" t="s">
        <v>19</v>
      </c>
      <c r="AE3" s="235" t="s">
        <v>20</v>
      </c>
      <c r="AF3" s="41" t="s">
        <v>2</v>
      </c>
      <c r="AG3" s="41" t="s">
        <v>2</v>
      </c>
      <c r="AH3" s="42" t="s">
        <v>21</v>
      </c>
      <c r="AI3" s="41" t="s">
        <v>2</v>
      </c>
      <c r="AJ3" s="41" t="s">
        <v>2</v>
      </c>
      <c r="AK3" s="41" t="s">
        <v>2</v>
      </c>
      <c r="AL3" s="235" t="s">
        <v>22</v>
      </c>
      <c r="AM3" s="235" t="s">
        <v>23</v>
      </c>
      <c r="AN3" s="235" t="s">
        <v>24</v>
      </c>
      <c r="AO3" s="235" t="s">
        <v>25</v>
      </c>
      <c r="AP3" s="229" t="s">
        <v>26</v>
      </c>
      <c r="AQ3" s="242" t="s">
        <v>27</v>
      </c>
      <c r="AR3" s="201" t="s">
        <v>2</v>
      </c>
      <c r="AS3" s="202" t="s">
        <v>2</v>
      </c>
      <c r="AT3" s="203" t="s">
        <v>28</v>
      </c>
      <c r="AU3" s="202" t="s">
        <v>2</v>
      </c>
      <c r="AV3" s="202" t="s">
        <v>2</v>
      </c>
      <c r="AW3" s="204" t="s">
        <v>2</v>
      </c>
      <c r="AX3" s="249" t="s">
        <v>29</v>
      </c>
      <c r="AY3" s="251" t="s">
        <v>30</v>
      </c>
      <c r="AZ3" s="253" t="s">
        <v>31</v>
      </c>
      <c r="BA3" s="255" t="s">
        <v>32</v>
      </c>
      <c r="BB3" s="175" t="s">
        <v>2</v>
      </c>
      <c r="BC3" s="176" t="s">
        <v>2</v>
      </c>
      <c r="BD3" s="176" t="s">
        <v>2</v>
      </c>
      <c r="BE3" s="176" t="s">
        <v>2</v>
      </c>
      <c r="BF3" s="176" t="s">
        <v>2</v>
      </c>
      <c r="BG3" s="177" t="s">
        <v>33</v>
      </c>
      <c r="BH3" s="176" t="s">
        <v>2</v>
      </c>
      <c r="BI3" s="176" t="s">
        <v>2</v>
      </c>
      <c r="BJ3" s="176" t="s">
        <v>2</v>
      </c>
      <c r="BK3" s="176" t="s">
        <v>2</v>
      </c>
      <c r="BL3" s="176" t="s">
        <v>2</v>
      </c>
      <c r="BM3" s="178" t="s">
        <v>2</v>
      </c>
      <c r="BN3" s="256" t="s">
        <v>34</v>
      </c>
      <c r="BO3" s="249" t="s">
        <v>35</v>
      </c>
      <c r="BP3" s="245" t="s">
        <v>36</v>
      </c>
      <c r="BQ3" s="247" t="s">
        <v>37</v>
      </c>
      <c r="BR3" s="11"/>
      <c r="BS3" s="10"/>
      <c r="BT3" s="10"/>
      <c r="BU3" s="10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</row>
    <row r="4" spans="1:253" s="6" customFormat="1" ht="40" customHeight="1" thickBot="1">
      <c r="A4" s="69"/>
      <c r="B4" s="237"/>
      <c r="C4" s="238"/>
      <c r="D4" s="238"/>
      <c r="E4" s="238"/>
      <c r="F4" s="238"/>
      <c r="G4" s="238"/>
      <c r="H4" s="238"/>
      <c r="I4" s="238"/>
      <c r="J4" s="238"/>
      <c r="K4" s="240"/>
      <c r="L4" s="38" t="s">
        <v>38</v>
      </c>
      <c r="M4" s="39" t="s">
        <v>39</v>
      </c>
      <c r="N4" s="39" t="s">
        <v>40</v>
      </c>
      <c r="O4" s="39" t="s">
        <v>38</v>
      </c>
      <c r="P4" s="39" t="s">
        <v>39</v>
      </c>
      <c r="Q4" s="39" t="s">
        <v>40</v>
      </c>
      <c r="R4" s="39" t="s">
        <v>38</v>
      </c>
      <c r="S4" s="39" t="s">
        <v>39</v>
      </c>
      <c r="T4" s="39" t="s">
        <v>40</v>
      </c>
      <c r="U4" s="39" t="s">
        <v>38</v>
      </c>
      <c r="V4" s="39" t="s">
        <v>39</v>
      </c>
      <c r="W4" s="39" t="s">
        <v>40</v>
      </c>
      <c r="X4" s="39" t="s">
        <v>38</v>
      </c>
      <c r="Y4" s="39" t="s">
        <v>39</v>
      </c>
      <c r="Z4" s="39" t="s">
        <v>40</v>
      </c>
      <c r="AA4" s="39" t="s">
        <v>38</v>
      </c>
      <c r="AB4" s="39" t="s">
        <v>39</v>
      </c>
      <c r="AC4" s="40" t="s">
        <v>40</v>
      </c>
      <c r="AD4" s="243"/>
      <c r="AE4" s="238"/>
      <c r="AF4" s="43" t="s">
        <v>13</v>
      </c>
      <c r="AG4" s="44" t="s">
        <v>14</v>
      </c>
      <c r="AH4" s="44" t="s">
        <v>15</v>
      </c>
      <c r="AI4" s="44" t="s">
        <v>16</v>
      </c>
      <c r="AJ4" s="45" t="s">
        <v>17</v>
      </c>
      <c r="AK4" s="45" t="s">
        <v>18</v>
      </c>
      <c r="AL4" s="238"/>
      <c r="AM4" s="238"/>
      <c r="AN4" s="238"/>
      <c r="AO4" s="238"/>
      <c r="AP4" s="230"/>
      <c r="AQ4" s="243"/>
      <c r="AR4" s="49" t="s">
        <v>13</v>
      </c>
      <c r="AS4" s="49" t="s">
        <v>14</v>
      </c>
      <c r="AT4" s="49" t="s">
        <v>15</v>
      </c>
      <c r="AU4" s="49" t="s">
        <v>16</v>
      </c>
      <c r="AV4" s="49" t="s">
        <v>17</v>
      </c>
      <c r="AW4" s="49" t="s">
        <v>18</v>
      </c>
      <c r="AX4" s="250"/>
      <c r="AY4" s="252"/>
      <c r="AZ4" s="254"/>
      <c r="BA4" s="246"/>
      <c r="BB4" s="179">
        <v>46023</v>
      </c>
      <c r="BC4" s="179">
        <v>46054</v>
      </c>
      <c r="BD4" s="179">
        <v>46082</v>
      </c>
      <c r="BE4" s="179">
        <v>46113</v>
      </c>
      <c r="BF4" s="179">
        <v>46143</v>
      </c>
      <c r="BG4" s="179">
        <v>46174</v>
      </c>
      <c r="BH4" s="179">
        <v>46204</v>
      </c>
      <c r="BI4" s="179">
        <v>46235</v>
      </c>
      <c r="BJ4" s="179">
        <v>46266</v>
      </c>
      <c r="BK4" s="179">
        <v>46296</v>
      </c>
      <c r="BL4" s="179">
        <v>46327</v>
      </c>
      <c r="BM4" s="179">
        <v>46357</v>
      </c>
      <c r="BN4" s="257"/>
      <c r="BO4" s="246"/>
      <c r="BP4" s="246"/>
      <c r="BQ4" s="248"/>
      <c r="BR4" s="12" t="s">
        <v>2</v>
      </c>
      <c r="BS4" s="12"/>
      <c r="BT4" s="12"/>
      <c r="BU4" s="12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7"/>
    </row>
    <row r="5" spans="1:253" s="2" customFormat="1" ht="34" customHeight="1">
      <c r="A5" s="69"/>
      <c r="B5" s="71">
        <v>1</v>
      </c>
      <c r="C5" s="50" t="s">
        <v>242</v>
      </c>
      <c r="D5" s="21" t="s">
        <v>243</v>
      </c>
      <c r="E5" s="20" t="s">
        <v>244</v>
      </c>
      <c r="F5" s="33" t="s">
        <v>44</v>
      </c>
      <c r="G5" s="23" t="s">
        <v>45</v>
      </c>
      <c r="H5" s="23" t="s">
        <v>136</v>
      </c>
      <c r="I5" s="23" t="s">
        <v>47</v>
      </c>
      <c r="J5" s="23" t="s">
        <v>48</v>
      </c>
      <c r="K5" s="23" t="s">
        <v>47</v>
      </c>
      <c r="L5" s="17"/>
      <c r="M5" s="17"/>
      <c r="N5" s="31"/>
      <c r="O5" s="17"/>
      <c r="P5" s="31"/>
      <c r="Q5" s="17"/>
      <c r="R5" s="31"/>
      <c r="S5" s="17"/>
      <c r="T5" s="31"/>
      <c r="U5" s="17"/>
      <c r="V5" s="31"/>
      <c r="W5" s="30"/>
      <c r="X5" s="31"/>
      <c r="Y5" s="30"/>
      <c r="Z5" s="31"/>
      <c r="AA5" s="32"/>
      <c r="AB5" s="31"/>
      <c r="AC5" s="17"/>
      <c r="AD5" s="22">
        <v>45597</v>
      </c>
      <c r="AE5" s="18">
        <v>729</v>
      </c>
      <c r="AF5" s="18">
        <v>0</v>
      </c>
      <c r="AG5" s="18">
        <v>0</v>
      </c>
      <c r="AH5" s="18">
        <v>0</v>
      </c>
      <c r="AI5" s="18">
        <v>0</v>
      </c>
      <c r="AJ5" s="18">
        <v>0</v>
      </c>
      <c r="AK5" s="18">
        <v>0</v>
      </c>
      <c r="AL5" s="26">
        <f>AF5+AG5+AH5+AI5+AK5+AJ5</f>
        <v>0</v>
      </c>
      <c r="AM5" s="37">
        <v>0</v>
      </c>
      <c r="AN5" s="25">
        <f>AD5+AE5+AL5</f>
        <v>46326</v>
      </c>
      <c r="AO5" s="27">
        <f ca="1">AN5-$AN$1</f>
        <v>123</v>
      </c>
      <c r="AP5" s="165" t="s">
        <v>2</v>
      </c>
      <c r="AQ5" s="19">
        <v>255680</v>
      </c>
      <c r="AR5" s="24">
        <v>0</v>
      </c>
      <c r="AS5" s="24">
        <v>0</v>
      </c>
      <c r="AT5" s="24">
        <v>0</v>
      </c>
      <c r="AU5" s="24">
        <v>0</v>
      </c>
      <c r="AV5" s="24">
        <v>0</v>
      </c>
      <c r="AW5" s="24">
        <v>0</v>
      </c>
      <c r="AX5" s="28">
        <f>AR5+AS5+AT5+AV5+AW5+AU5</f>
        <v>0</v>
      </c>
      <c r="AY5" s="28">
        <f>AQ5+AX5</f>
        <v>255680</v>
      </c>
      <c r="AZ5" s="19">
        <v>197544.95999999999</v>
      </c>
      <c r="BA5" s="19">
        <f>SUM(BB5:BM5)</f>
        <v>22515</v>
      </c>
      <c r="BB5" s="181">
        <v>3705</v>
      </c>
      <c r="BC5" s="181">
        <v>4940</v>
      </c>
      <c r="BD5" s="181">
        <v>4180</v>
      </c>
      <c r="BE5" s="181">
        <v>4940</v>
      </c>
      <c r="BF5" s="181">
        <v>4750</v>
      </c>
      <c r="BG5" s="181">
        <v>0</v>
      </c>
      <c r="BH5" s="181">
        <v>0</v>
      </c>
      <c r="BI5" s="181">
        <v>0</v>
      </c>
      <c r="BJ5" s="181">
        <v>0</v>
      </c>
      <c r="BK5" s="181">
        <v>0</v>
      </c>
      <c r="BL5" s="181">
        <v>0</v>
      </c>
      <c r="BM5" s="181">
        <v>0</v>
      </c>
      <c r="BN5" s="37">
        <v>17</v>
      </c>
      <c r="BO5" s="19">
        <f>AZ5+BA5</f>
        <v>220059.96</v>
      </c>
      <c r="BP5" s="19">
        <f>AY5-BO5</f>
        <v>35620.040000000008</v>
      </c>
      <c r="BQ5" s="29">
        <f>BO5/AY5</f>
        <v>0.86068507509386727</v>
      </c>
      <c r="BR5" s="15"/>
      <c r="BS5" s="14" t="s">
        <v>137</v>
      </c>
      <c r="BT5" s="34"/>
      <c r="BU5" s="13"/>
    </row>
    <row r="6" spans="1:253" s="2" customFormat="1" ht="34" customHeight="1">
      <c r="A6" s="69"/>
      <c r="B6" s="71">
        <v>2</v>
      </c>
      <c r="C6" s="50" t="s">
        <v>253</v>
      </c>
      <c r="D6" s="21" t="s">
        <v>252</v>
      </c>
      <c r="E6" s="20" t="s">
        <v>254</v>
      </c>
      <c r="F6" s="33" t="s">
        <v>44</v>
      </c>
      <c r="G6" s="23" t="s">
        <v>86</v>
      </c>
      <c r="H6" s="23" t="s">
        <v>255</v>
      </c>
      <c r="I6" s="23" t="s">
        <v>47</v>
      </c>
      <c r="J6" s="23" t="s">
        <v>256</v>
      </c>
      <c r="K6" s="23" t="s">
        <v>47</v>
      </c>
      <c r="L6" s="17"/>
      <c r="M6" s="17"/>
      <c r="N6" s="31"/>
      <c r="O6" s="17"/>
      <c r="P6" s="31"/>
      <c r="Q6" s="17"/>
      <c r="R6" s="31"/>
      <c r="S6" s="17"/>
      <c r="T6" s="31"/>
      <c r="U6" s="17"/>
      <c r="V6" s="31"/>
      <c r="W6" s="30"/>
      <c r="X6" s="31"/>
      <c r="Y6" s="30"/>
      <c r="Z6" s="31"/>
      <c r="AA6" s="32"/>
      <c r="AB6" s="31"/>
      <c r="AC6" s="17"/>
      <c r="AD6" s="22">
        <v>44886</v>
      </c>
      <c r="AE6" s="18">
        <v>730</v>
      </c>
      <c r="AF6" s="98">
        <v>72</v>
      </c>
      <c r="AG6" s="98">
        <v>120</v>
      </c>
      <c r="AH6" s="98">
        <v>122</v>
      </c>
      <c r="AI6" s="98">
        <v>253</v>
      </c>
      <c r="AJ6" s="98">
        <v>731</v>
      </c>
      <c r="AK6" s="18">
        <v>0</v>
      </c>
      <c r="AL6" s="26">
        <f>AF6+AG6+AH6+AI6+AK6+AJ6</f>
        <v>1298</v>
      </c>
      <c r="AM6" s="37">
        <v>5</v>
      </c>
      <c r="AN6" s="25">
        <f>AD6+AE6+AL6</f>
        <v>46914</v>
      </c>
      <c r="AO6" s="27">
        <f ca="1">AN6-$AN$1</f>
        <v>711</v>
      </c>
      <c r="AP6" s="165" t="s">
        <v>2</v>
      </c>
      <c r="AQ6" s="19">
        <v>16714699.619999999</v>
      </c>
      <c r="AR6" s="200">
        <v>0</v>
      </c>
      <c r="AS6" s="200">
        <v>0</v>
      </c>
      <c r="AT6" s="200">
        <v>0</v>
      </c>
      <c r="AU6" s="200">
        <v>4320000</v>
      </c>
      <c r="AV6" s="200">
        <v>0</v>
      </c>
      <c r="AW6" s="200">
        <v>0</v>
      </c>
      <c r="AX6" s="28">
        <f>AR6+AS6+AT6+AV6+AW6+AU6</f>
        <v>4320000</v>
      </c>
      <c r="AY6" s="28">
        <f>AQ6+AX6</f>
        <v>21034699.619999997</v>
      </c>
      <c r="AZ6" s="19">
        <v>10813909.130000001</v>
      </c>
      <c r="BA6" s="19">
        <f>SUM(BB6:BM6)</f>
        <v>168531.3</v>
      </c>
      <c r="BB6" s="181">
        <v>0</v>
      </c>
      <c r="BC6" s="181">
        <v>0</v>
      </c>
      <c r="BD6" s="181">
        <v>0</v>
      </c>
      <c r="BE6" s="181">
        <f>26297.1+16099.2</f>
        <v>42396.3</v>
      </c>
      <c r="BF6" s="181">
        <f>72631+53504</f>
        <v>126135</v>
      </c>
      <c r="BG6" s="181">
        <v>0</v>
      </c>
      <c r="BH6" s="181">
        <v>0</v>
      </c>
      <c r="BI6" s="181">
        <v>0</v>
      </c>
      <c r="BJ6" s="181">
        <v>0</v>
      </c>
      <c r="BK6" s="181">
        <v>0</v>
      </c>
      <c r="BL6" s="181">
        <v>0</v>
      </c>
      <c r="BM6" s="181">
        <v>0</v>
      </c>
      <c r="BN6" s="37">
        <v>46</v>
      </c>
      <c r="BO6" s="19">
        <f>AZ6+BA6</f>
        <v>10982440.430000002</v>
      </c>
      <c r="BP6" s="19">
        <f>AY6-BO6</f>
        <v>10052259.189999996</v>
      </c>
      <c r="BQ6" s="29">
        <f>BO6/AY6</f>
        <v>0.52211063758465992</v>
      </c>
      <c r="BR6" s="15"/>
      <c r="BS6" s="14" t="s">
        <v>137</v>
      </c>
      <c r="BT6" s="34"/>
      <c r="BU6" s="13"/>
    </row>
    <row r="7" spans="1:253" s="2" customFormat="1" ht="34" customHeight="1">
      <c r="A7" s="69"/>
      <c r="B7" s="71">
        <v>3</v>
      </c>
      <c r="C7" s="50" t="s">
        <v>271</v>
      </c>
      <c r="D7" s="21" t="s">
        <v>265</v>
      </c>
      <c r="E7" s="20" t="s">
        <v>266</v>
      </c>
      <c r="F7" s="33" t="s">
        <v>44</v>
      </c>
      <c r="G7" s="23" t="s">
        <v>86</v>
      </c>
      <c r="H7" s="23" t="s">
        <v>255</v>
      </c>
      <c r="I7" s="23" t="s">
        <v>47</v>
      </c>
      <c r="J7" s="23" t="s">
        <v>256</v>
      </c>
      <c r="K7" s="23" t="s">
        <v>47</v>
      </c>
      <c r="L7" s="17"/>
      <c r="M7" s="17"/>
      <c r="N7" s="31"/>
      <c r="O7" s="17"/>
      <c r="P7" s="31"/>
      <c r="Q7" s="17"/>
      <c r="R7" s="31"/>
      <c r="S7" s="17"/>
      <c r="T7" s="31"/>
      <c r="U7" s="17"/>
      <c r="V7" s="31"/>
      <c r="W7" s="30"/>
      <c r="X7" s="31"/>
      <c r="Y7" s="30"/>
      <c r="Z7" s="31"/>
      <c r="AA7" s="32"/>
      <c r="AB7" s="31"/>
      <c r="AC7" s="17"/>
      <c r="AD7" s="22">
        <v>45200</v>
      </c>
      <c r="AE7" s="18">
        <v>730</v>
      </c>
      <c r="AF7" s="98">
        <v>0</v>
      </c>
      <c r="AG7" s="98">
        <v>0</v>
      </c>
      <c r="AH7" s="98">
        <v>0</v>
      </c>
      <c r="AI7" s="98">
        <v>0</v>
      </c>
      <c r="AJ7" s="98">
        <v>0</v>
      </c>
      <c r="AK7" s="98">
        <v>1004</v>
      </c>
      <c r="AL7" s="26">
        <f>AF7+AG7+AH7+AI7+AK7+AJ7</f>
        <v>1004</v>
      </c>
      <c r="AM7" s="37">
        <v>6</v>
      </c>
      <c r="AN7" s="25">
        <f>AD7+AE7+AL7</f>
        <v>46934</v>
      </c>
      <c r="AO7" s="27">
        <f ca="1">AN7-$AN$1</f>
        <v>731</v>
      </c>
      <c r="AP7" s="165" t="s">
        <v>2</v>
      </c>
      <c r="AQ7" s="19">
        <v>16093.16</v>
      </c>
      <c r="AR7" s="200">
        <v>3542100.45</v>
      </c>
      <c r="AS7" s="200">
        <v>3940</v>
      </c>
      <c r="AT7" s="200">
        <v>1970</v>
      </c>
      <c r="AU7" s="200">
        <v>0</v>
      </c>
      <c r="AV7" s="200">
        <v>0</v>
      </c>
      <c r="AW7" s="200">
        <v>3590000</v>
      </c>
      <c r="AX7" s="28">
        <f>AR7+AS7+AT7+AV7+AW7+AU7</f>
        <v>7138010.4500000002</v>
      </c>
      <c r="AY7" s="28">
        <f>AQ7+AX7</f>
        <v>7154103.6100000003</v>
      </c>
      <c r="AZ7" s="19">
        <v>4662783.16</v>
      </c>
      <c r="BA7" s="19">
        <f>SUM(BB7:BM7)</f>
        <v>136589.06</v>
      </c>
      <c r="BB7" s="181">
        <v>0</v>
      </c>
      <c r="BC7" s="181">
        <v>0</v>
      </c>
      <c r="BD7" s="181">
        <v>0</v>
      </c>
      <c r="BE7" s="181">
        <v>0</v>
      </c>
      <c r="BF7" s="181">
        <v>0</v>
      </c>
      <c r="BG7" s="181">
        <f>43718.24+92650.16+220.66</f>
        <v>136589.06</v>
      </c>
      <c r="BH7" s="181">
        <v>0</v>
      </c>
      <c r="BI7" s="181">
        <v>0</v>
      </c>
      <c r="BJ7" s="181">
        <v>0</v>
      </c>
      <c r="BK7" s="181">
        <v>0</v>
      </c>
      <c r="BL7" s="181">
        <v>0</v>
      </c>
      <c r="BM7" s="181">
        <v>0</v>
      </c>
      <c r="BN7" s="37">
        <v>65</v>
      </c>
      <c r="BO7" s="19">
        <f>AZ7+BA7</f>
        <v>4799372.22</v>
      </c>
      <c r="BP7" s="19">
        <f>AY7-BO7</f>
        <v>2354731.3900000006</v>
      </c>
      <c r="BQ7" s="29">
        <f>BO7/AY7</f>
        <v>0.67085584464997694</v>
      </c>
      <c r="BR7" s="15"/>
      <c r="BS7" s="14" t="s">
        <v>137</v>
      </c>
      <c r="BT7" s="34"/>
      <c r="BU7" s="13"/>
    </row>
    <row r="8" spans="1:253" s="2" customFormat="1" ht="34" customHeight="1">
      <c r="A8" s="69"/>
      <c r="B8" s="138">
        <v>4</v>
      </c>
      <c r="C8" s="113" t="s">
        <v>211</v>
      </c>
      <c r="D8" s="114" t="s">
        <v>212</v>
      </c>
      <c r="E8" s="115" t="s">
        <v>213</v>
      </c>
      <c r="F8" s="139" t="s">
        <v>44</v>
      </c>
      <c r="G8" s="116" t="s">
        <v>45</v>
      </c>
      <c r="H8" s="116" t="s">
        <v>49</v>
      </c>
      <c r="I8" s="116" t="s">
        <v>47</v>
      </c>
      <c r="J8" s="116" t="s">
        <v>48</v>
      </c>
      <c r="K8" s="116" t="s">
        <v>47</v>
      </c>
      <c r="L8" s="120">
        <v>45987</v>
      </c>
      <c r="M8" s="120">
        <v>46001</v>
      </c>
      <c r="N8" s="120">
        <v>46003</v>
      </c>
      <c r="O8" s="120" t="s">
        <v>47</v>
      </c>
      <c r="P8" s="120" t="s">
        <v>47</v>
      </c>
      <c r="Q8" s="120">
        <v>46003</v>
      </c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>
        <v>45656</v>
      </c>
      <c r="AE8" s="121">
        <v>182</v>
      </c>
      <c r="AF8" s="121">
        <v>0</v>
      </c>
      <c r="AG8" s="121">
        <v>304</v>
      </c>
      <c r="AH8" s="121">
        <v>0</v>
      </c>
      <c r="AI8" s="121">
        <v>0</v>
      </c>
      <c r="AJ8" s="121">
        <v>0</v>
      </c>
      <c r="AK8" s="121">
        <v>0</v>
      </c>
      <c r="AL8" s="122">
        <f>AF8+AG8+AH8+AI8+AK8</f>
        <v>304</v>
      </c>
      <c r="AM8" s="123">
        <v>2</v>
      </c>
      <c r="AN8" s="124">
        <f>AD8+AE8+AL8</f>
        <v>46142</v>
      </c>
      <c r="AO8" s="125" t="s">
        <v>214</v>
      </c>
      <c r="AP8" s="170" t="s">
        <v>215</v>
      </c>
      <c r="AQ8" s="140">
        <v>160000</v>
      </c>
      <c r="AR8" s="127">
        <v>0</v>
      </c>
      <c r="AS8" s="140">
        <v>160000</v>
      </c>
      <c r="AT8" s="127">
        <v>0</v>
      </c>
      <c r="AU8" s="127">
        <v>0</v>
      </c>
      <c r="AV8" s="127">
        <v>0</v>
      </c>
      <c r="AW8" s="140">
        <v>0</v>
      </c>
      <c r="AX8" s="140">
        <f>AS8+AT8+AU8+AV8+AW8</f>
        <v>160000</v>
      </c>
      <c r="AY8" s="140">
        <f>AQ8+AX8</f>
        <v>320000</v>
      </c>
      <c r="AZ8" s="141">
        <v>317790</v>
      </c>
      <c r="BA8" s="185">
        <f>BB8+BC8+BD8+BE8+BF8+BG8+BH8+BI8+BJ8+BK8+BL8+BM8</f>
        <v>0</v>
      </c>
      <c r="BB8" s="185">
        <v>0</v>
      </c>
      <c r="BC8" s="185">
        <v>0</v>
      </c>
      <c r="BD8" s="185">
        <v>0</v>
      </c>
      <c r="BE8" s="185">
        <v>0</v>
      </c>
      <c r="BF8" s="185">
        <v>0</v>
      </c>
      <c r="BG8" s="185">
        <v>0</v>
      </c>
      <c r="BH8" s="185">
        <v>0</v>
      </c>
      <c r="BI8" s="185">
        <v>0</v>
      </c>
      <c r="BJ8" s="185">
        <v>0</v>
      </c>
      <c r="BK8" s="185">
        <v>0</v>
      </c>
      <c r="BL8" s="185">
        <v>0</v>
      </c>
      <c r="BM8" s="185">
        <v>0</v>
      </c>
      <c r="BN8" s="123">
        <v>0</v>
      </c>
      <c r="BO8" s="185">
        <f>AZ8+BA8</f>
        <v>317790</v>
      </c>
      <c r="BP8" s="185">
        <f>AY8-BO8</f>
        <v>2210</v>
      </c>
      <c r="BQ8" s="29">
        <f>BO8/AY8</f>
        <v>0.99309375</v>
      </c>
      <c r="BR8" s="142"/>
      <c r="BS8" s="94"/>
      <c r="BT8" s="13"/>
      <c r="BU8" s="13"/>
    </row>
    <row r="9" spans="1:253" s="5" customFormat="1" ht="17.149999999999999" customHeight="1">
      <c r="A9" s="146"/>
      <c r="B9" s="147"/>
      <c r="C9" s="148" t="s">
        <v>241</v>
      </c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 t="s">
        <v>2</v>
      </c>
      <c r="AE9" s="148" t="s">
        <v>2</v>
      </c>
      <c r="AF9" s="148" t="s">
        <v>2</v>
      </c>
      <c r="AG9" s="148" t="s">
        <v>2</v>
      </c>
      <c r="AH9" s="148" t="s">
        <v>2</v>
      </c>
      <c r="AI9" s="148" t="s">
        <v>2</v>
      </c>
      <c r="AJ9" s="148" t="s">
        <v>2</v>
      </c>
      <c r="AK9" s="148" t="s">
        <v>2</v>
      </c>
      <c r="AL9" s="148" t="s">
        <v>2</v>
      </c>
      <c r="AM9" s="148" t="s">
        <v>2</v>
      </c>
      <c r="AN9" s="148" t="s">
        <v>2</v>
      </c>
      <c r="AO9" s="148" t="s">
        <v>2</v>
      </c>
      <c r="AP9" s="171" t="s">
        <v>2</v>
      </c>
      <c r="AQ9" s="148">
        <f>AQ5</f>
        <v>255680</v>
      </c>
      <c r="AR9" s="148" t="s">
        <v>2</v>
      </c>
      <c r="AS9" s="148" t="s">
        <v>2</v>
      </c>
      <c r="AT9" s="148" t="s">
        <v>2</v>
      </c>
      <c r="AU9" s="148" t="s">
        <v>2</v>
      </c>
      <c r="AV9" s="148" t="s">
        <v>2</v>
      </c>
      <c r="AW9" s="148">
        <f t="shared" ref="AW9" si="0">AX5</f>
        <v>0</v>
      </c>
      <c r="AX9" s="148">
        <f t="shared" ref="AX9:BM9" si="1">AX7+AX5+AX6</f>
        <v>11458010.449999999</v>
      </c>
      <c r="AY9" s="148">
        <f t="shared" si="1"/>
        <v>28444483.229999997</v>
      </c>
      <c r="AZ9" s="148">
        <f t="shared" si="1"/>
        <v>15674237.25</v>
      </c>
      <c r="BA9" s="148">
        <f t="shared" si="1"/>
        <v>327635.36</v>
      </c>
      <c r="BB9" s="148">
        <f t="shared" si="1"/>
        <v>3705</v>
      </c>
      <c r="BC9" s="148">
        <f t="shared" si="1"/>
        <v>4940</v>
      </c>
      <c r="BD9" s="148">
        <f t="shared" si="1"/>
        <v>4180</v>
      </c>
      <c r="BE9" s="148">
        <f t="shared" si="1"/>
        <v>47336.3</v>
      </c>
      <c r="BF9" s="148">
        <f t="shared" si="1"/>
        <v>130885</v>
      </c>
      <c r="BG9" s="148">
        <f t="shared" si="1"/>
        <v>136589.06</v>
      </c>
      <c r="BH9" s="148">
        <f t="shared" si="1"/>
        <v>0</v>
      </c>
      <c r="BI9" s="148">
        <f t="shared" si="1"/>
        <v>0</v>
      </c>
      <c r="BJ9" s="148">
        <f t="shared" si="1"/>
        <v>0</v>
      </c>
      <c r="BK9" s="148">
        <f t="shared" si="1"/>
        <v>0</v>
      </c>
      <c r="BL9" s="148">
        <f t="shared" si="1"/>
        <v>0</v>
      </c>
      <c r="BM9" s="148">
        <f t="shared" si="1"/>
        <v>0</v>
      </c>
      <c r="BN9" s="148" t="s">
        <v>2</v>
      </c>
      <c r="BO9" s="148">
        <f>BO7+BO5+BO6</f>
        <v>16001872.610000001</v>
      </c>
      <c r="BP9" s="148">
        <f>BP7+BP5+BP6</f>
        <v>12442610.619999997</v>
      </c>
      <c r="BQ9" s="208">
        <f>BO9/AY9</f>
        <v>0.56256506685707863</v>
      </c>
      <c r="BR9" s="15"/>
      <c r="BS9" s="94"/>
      <c r="BT9" s="13"/>
      <c r="BU9" s="13"/>
      <c r="BV9" s="2"/>
      <c r="BW9" s="2"/>
      <c r="BX9" s="2"/>
      <c r="BY9" s="2"/>
      <c r="BZ9" s="150"/>
      <c r="CA9" s="150"/>
      <c r="CB9" s="150"/>
      <c r="CC9" s="150"/>
      <c r="CD9" s="150"/>
      <c r="CE9" s="150"/>
      <c r="CF9" s="150"/>
      <c r="CG9" s="150"/>
      <c r="CH9" s="150"/>
      <c r="CI9" s="150"/>
      <c r="CJ9" s="150"/>
      <c r="CK9" s="150"/>
      <c r="CL9" s="150"/>
      <c r="CM9" s="150"/>
      <c r="CN9" s="150"/>
      <c r="CO9" s="150"/>
      <c r="CP9" s="150"/>
      <c r="CQ9" s="150"/>
      <c r="CR9" s="150"/>
      <c r="CS9" s="150"/>
      <c r="CT9" s="150"/>
      <c r="CU9" s="150"/>
      <c r="CV9" s="150"/>
      <c r="CW9" s="150"/>
      <c r="CX9" s="150"/>
      <c r="CY9" s="150"/>
      <c r="CZ9" s="150"/>
      <c r="DA9" s="150"/>
      <c r="DB9" s="150"/>
      <c r="DC9" s="150"/>
      <c r="DD9" s="150"/>
      <c r="DE9" s="150"/>
      <c r="DF9" s="150"/>
      <c r="DG9" s="150"/>
      <c r="DH9" s="150"/>
      <c r="DI9" s="150"/>
      <c r="DJ9" s="150"/>
      <c r="DK9" s="150"/>
      <c r="DL9" s="150"/>
      <c r="DM9" s="150"/>
      <c r="DN9" s="150"/>
      <c r="DO9" s="150"/>
      <c r="DP9" s="150"/>
      <c r="DQ9" s="150"/>
      <c r="DR9" s="150"/>
      <c r="DS9" s="150"/>
      <c r="DT9" s="150"/>
      <c r="DU9" s="150"/>
      <c r="DV9" s="150"/>
      <c r="DW9" s="150"/>
      <c r="DX9" s="150"/>
      <c r="DY9" s="150"/>
      <c r="DZ9" s="150"/>
      <c r="EA9" s="150"/>
      <c r="EB9" s="150"/>
      <c r="EC9" s="150"/>
      <c r="ED9" s="150"/>
      <c r="EE9" s="150"/>
      <c r="EF9" s="150"/>
      <c r="EG9" s="150"/>
      <c r="EH9" s="150"/>
      <c r="EI9" s="150"/>
      <c r="EJ9" s="150"/>
      <c r="EK9" s="150"/>
      <c r="EL9" s="150"/>
      <c r="EM9" s="150"/>
      <c r="EN9" s="150"/>
      <c r="EO9" s="150"/>
      <c r="EP9" s="150"/>
      <c r="EQ9" s="150"/>
      <c r="ER9" s="150"/>
      <c r="ES9" s="150"/>
      <c r="ET9" s="150"/>
      <c r="EU9" s="150"/>
      <c r="EV9" s="150"/>
      <c r="EW9" s="150"/>
      <c r="EX9" s="150"/>
      <c r="EY9" s="150"/>
      <c r="EZ9" s="150"/>
      <c r="FA9" s="150"/>
      <c r="FB9" s="150"/>
      <c r="FC9" s="150"/>
      <c r="FD9" s="150"/>
      <c r="FE9" s="150"/>
      <c r="FF9" s="150"/>
      <c r="FG9" s="150"/>
      <c r="FH9" s="150"/>
      <c r="FI9" s="150"/>
      <c r="FJ9" s="150"/>
      <c r="FK9" s="150"/>
      <c r="FL9" s="150"/>
      <c r="FM9" s="150"/>
      <c r="FN9" s="150"/>
      <c r="FO9" s="150"/>
      <c r="FP9" s="150"/>
      <c r="FQ9" s="150"/>
      <c r="FR9" s="150"/>
      <c r="FS9" s="150"/>
      <c r="FT9" s="150"/>
      <c r="FU9" s="150"/>
      <c r="FV9" s="150"/>
      <c r="FW9" s="150"/>
      <c r="FX9" s="150"/>
      <c r="FY9" s="150"/>
      <c r="FZ9" s="150"/>
      <c r="GA9" s="150"/>
      <c r="GB9" s="150"/>
      <c r="GC9" s="150"/>
      <c r="GD9" s="150"/>
      <c r="GE9" s="150"/>
      <c r="GF9" s="150"/>
      <c r="GG9" s="150"/>
      <c r="GH9" s="150"/>
      <c r="GI9" s="150"/>
      <c r="GJ9" s="150"/>
      <c r="GK9" s="150"/>
      <c r="GL9" s="150"/>
      <c r="GM9" s="150"/>
      <c r="GN9" s="150"/>
      <c r="GO9" s="150"/>
      <c r="GP9" s="150"/>
      <c r="GQ9" s="150"/>
      <c r="GR9" s="150"/>
      <c r="GS9" s="150"/>
      <c r="GT9" s="150"/>
      <c r="GU9" s="150"/>
      <c r="GV9" s="150"/>
      <c r="GW9" s="150"/>
      <c r="GX9" s="150"/>
      <c r="GY9" s="150"/>
      <c r="GZ9" s="150"/>
      <c r="HA9" s="150"/>
      <c r="HB9" s="150"/>
      <c r="HC9" s="150"/>
      <c r="HD9" s="150"/>
      <c r="HE9" s="150"/>
      <c r="HF9" s="150"/>
      <c r="HG9" s="150"/>
      <c r="HH9" s="150"/>
      <c r="HI9" s="150"/>
      <c r="HJ9" s="150"/>
      <c r="HK9" s="150"/>
      <c r="HL9" s="150"/>
      <c r="HM9" s="150"/>
      <c r="HN9" s="150"/>
      <c r="HO9" s="150"/>
      <c r="HP9" s="150"/>
      <c r="HQ9" s="150"/>
      <c r="HR9" s="150"/>
      <c r="HS9" s="150"/>
      <c r="HT9" s="150"/>
      <c r="HU9" s="150"/>
      <c r="HV9" s="150"/>
      <c r="HW9" s="150"/>
      <c r="HX9" s="150"/>
      <c r="HY9" s="150"/>
      <c r="HZ9" s="150"/>
      <c r="IA9" s="150"/>
      <c r="IB9" s="150"/>
      <c r="IC9" s="150"/>
      <c r="ID9" s="150"/>
      <c r="IE9" s="150"/>
      <c r="IF9" s="150"/>
      <c r="IG9" s="150"/>
      <c r="IH9" s="150"/>
      <c r="II9" s="150"/>
      <c r="IJ9" s="150"/>
      <c r="IK9" s="150"/>
      <c r="IL9" s="150"/>
      <c r="IM9" s="150"/>
      <c r="IN9" s="150"/>
      <c r="IO9" s="150"/>
      <c r="IP9" s="150"/>
      <c r="IQ9" s="150"/>
      <c r="IR9" s="150"/>
      <c r="IS9" s="151"/>
    </row>
    <row r="10" spans="1:253">
      <c r="AD10" t="s">
        <v>2</v>
      </c>
    </row>
    <row r="11" spans="1:253">
      <c r="AY11" s="155" t="s">
        <v>2</v>
      </c>
      <c r="AZ11" t="s">
        <v>2</v>
      </c>
      <c r="BO11" t="s">
        <v>2</v>
      </c>
    </row>
    <row r="12" spans="1:253">
      <c r="AX12" s="199" t="s">
        <v>2</v>
      </c>
      <c r="AZ12" s="155" t="s">
        <v>2</v>
      </c>
      <c r="BO12" s="155" t="s">
        <v>2</v>
      </c>
    </row>
    <row r="13" spans="1:253">
      <c r="AX13" s="155" t="s">
        <v>2</v>
      </c>
      <c r="AZ13" s="155" t="s">
        <v>2</v>
      </c>
    </row>
    <row r="15" spans="1:253">
      <c r="AY15" t="s">
        <v>2</v>
      </c>
      <c r="AZ15" s="155" t="s">
        <v>2</v>
      </c>
      <c r="BA15" s="206" t="s">
        <v>2</v>
      </c>
    </row>
    <row r="16" spans="1:253">
      <c r="AY16" s="155" t="s">
        <v>2</v>
      </c>
    </row>
    <row r="18" spans="51:68">
      <c r="AY18" s="155" t="s">
        <v>2</v>
      </c>
    </row>
    <row r="20" spans="51:68">
      <c r="BP20">
        <v>4669646.55</v>
      </c>
    </row>
    <row r="21" spans="51:68">
      <c r="BP21" s="155" t="e">
        <f>BP20-#REF!</f>
        <v>#REF!</v>
      </c>
    </row>
    <row r="22" spans="51:68">
      <c r="BP22" s="155" t="e">
        <f>BP21-#REF!</f>
        <v>#REF!</v>
      </c>
    </row>
  </sheetData>
  <sheetProtection formatCells="0" formatColumns="0" formatRows="0" insertRows="0" insertHyperlinks="0" selectLockedCells="1" autoFilter="0"/>
  <mergeCells count="32">
    <mergeCell ref="BP3:BP4"/>
    <mergeCell ref="BQ3:BQ4"/>
    <mergeCell ref="AX3:AX4"/>
    <mergeCell ref="AY3:AY4"/>
    <mergeCell ref="AZ3:AZ4"/>
    <mergeCell ref="BA3:BA4"/>
    <mergeCell ref="BN3:BN4"/>
    <mergeCell ref="BO3:BO4"/>
    <mergeCell ref="AQ3:AQ4"/>
    <mergeCell ref="R3:T3"/>
    <mergeCell ref="U3:W3"/>
    <mergeCell ref="X3:Z3"/>
    <mergeCell ref="AA3:AC3"/>
    <mergeCell ref="AD3:AD4"/>
    <mergeCell ref="AE3:AE4"/>
    <mergeCell ref="AL3:AL4"/>
    <mergeCell ref="AM3:AM4"/>
    <mergeCell ref="AN3:AN4"/>
    <mergeCell ref="AO3:AO4"/>
    <mergeCell ref="AP3:AP4"/>
    <mergeCell ref="O3:Q3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N3"/>
  </mergeCells>
  <conditionalFormatting sqref="AO5:AO7">
    <cfRule type="cellIs" dxfId="8" priority="10" operator="greaterThanOrEqual">
      <formula>90</formula>
    </cfRule>
    <cfRule type="cellIs" dxfId="7" priority="11" operator="lessThan">
      <formula>0</formula>
    </cfRule>
    <cfRule type="cellIs" dxfId="6" priority="12" operator="between">
      <formula>75</formula>
      <formula>89</formula>
    </cfRule>
    <cfRule type="cellIs" dxfId="5" priority="13" operator="between">
      <formula>61</formula>
      <formula>74</formula>
    </cfRule>
    <cfRule type="cellIs" dxfId="4" priority="14" operator="between">
      <formula>0</formula>
      <formula>60</formula>
    </cfRule>
  </conditionalFormatting>
  <conditionalFormatting sqref="BQ5:BQ9">
    <cfRule type="cellIs" dxfId="3" priority="15" operator="greaterThan">
      <formula>1</formula>
    </cfRule>
    <cfRule type="cellIs" dxfId="2" priority="16" operator="between">
      <formula>0.86</formula>
      <formula>1</formula>
    </cfRule>
    <cfRule type="cellIs" dxfId="1" priority="17" operator="between">
      <formula>0.71</formula>
      <formula>0.85</formula>
    </cfRule>
    <cfRule type="cellIs" dxfId="0" priority="18" operator="between">
      <formula>0</formula>
      <formula>0.7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BA5 BA6" formulaRange="1"/>
    <ignoredError sqref="BE6:BF6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b5479d-e2e0-489a-8b5f-ff5afee033bf">
      <Terms xmlns="http://schemas.microsoft.com/office/infopath/2007/PartnerControls"/>
    </lcf76f155ced4ddcb4097134ff3c332f>
    <TaxCatchAll xmlns="dab045db-1562-475d-b951-218fc3818d9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A7CC43A2796D42828455B1D0008F7A" ma:contentTypeVersion="11" ma:contentTypeDescription="Create a new document." ma:contentTypeScope="" ma:versionID="cf7e5f7729bc30068c8fd0cd0d57ca16">
  <xsd:schema xmlns:xsd="http://www.w3.org/2001/XMLSchema" xmlns:xs="http://www.w3.org/2001/XMLSchema" xmlns:p="http://schemas.microsoft.com/office/2006/metadata/properties" xmlns:ns2="5eb5479d-e2e0-489a-8b5f-ff5afee033bf" xmlns:ns3="dab045db-1562-475d-b951-218fc3818d92" targetNamespace="http://schemas.microsoft.com/office/2006/metadata/properties" ma:root="true" ma:fieldsID="adba155a841a9fb262257d2a969b9c38" ns2:_="" ns3:_="">
    <xsd:import namespace="5eb5479d-e2e0-489a-8b5f-ff5afee033bf"/>
    <xsd:import namespace="dab045db-1562-475d-b951-218fc3818d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b5479d-e2e0-489a-8b5f-ff5afee03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07de5205-918b-43dd-8b01-5b9a8fc11ba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b045db-1562-475d-b951-218fc3818d9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daf9b91-92f4-436b-88f5-d2c64488c1d0}" ma:internalName="TaxCatchAll" ma:showField="CatchAllData" ma:web="dab045db-1562-475d-b951-218fc3818d9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993BDB-4D50-4B12-81B3-72C05F346152}">
  <ds:schemaRefs>
    <ds:schemaRef ds:uri="http://schemas.microsoft.com/office/2006/metadata/properties"/>
    <ds:schemaRef ds:uri="http://schemas.microsoft.com/office/infopath/2007/PartnerControls"/>
    <ds:schemaRef ds:uri="5eb5479d-e2e0-489a-8b5f-ff5afee033bf"/>
    <ds:schemaRef ds:uri="dab045db-1562-475d-b951-218fc3818d92"/>
  </ds:schemaRefs>
</ds:datastoreItem>
</file>

<file path=customXml/itemProps2.xml><?xml version="1.0" encoding="utf-8"?>
<ds:datastoreItem xmlns:ds="http://schemas.openxmlformats.org/officeDocument/2006/customXml" ds:itemID="{0FF0A554-3C67-4BA5-A966-9D293538A1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b5479d-e2e0-489a-8b5f-ff5afee033bf"/>
    <ds:schemaRef ds:uri="dab045db-1562-475d-b951-218fc3818d9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F9C5006-86D6-4536-BA0F-1405C7BB64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MAC - CC Maraba</vt:lpstr>
      <vt:lpstr>MAC - CC Pinda em construção</vt:lpstr>
      <vt:lpstr>'MAC - CC Maraba'!Area_de_impressao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Wansley Lima</dc:creator>
  <cp:keywords/>
  <dc:description/>
  <cp:lastModifiedBy>Wansley dos Santos Lima - Tecnored</cp:lastModifiedBy>
  <cp:revision/>
  <cp:lastPrinted>2026-06-26T18:17:18Z</cp:lastPrinted>
  <dcterms:created xsi:type="dcterms:W3CDTF">2006-09-25T12:47:36Z</dcterms:created>
  <dcterms:modified xsi:type="dcterms:W3CDTF">2026-06-30T14:28:32Z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f76f155ced4ddcb4097134ff3c332f">
    <vt:lpwstr/>
  </property>
  <property fmtid="{D5CDD505-2E9C-101B-9397-08002B2CF9AE}" pid="3" name="TaxCatchAll">
    <vt:lpwstr/>
  </property>
  <property fmtid="{D5CDD505-2E9C-101B-9397-08002B2CF9AE}" pid="4" name="ContentTypeId">
    <vt:lpwstr>0x010100C8A7CC43A2796D42828455B1D0008F7A</vt:lpwstr>
  </property>
  <property fmtid="{D5CDD505-2E9C-101B-9397-08002B2CF9AE}" pid="5" name="MediaServiceImageTags">
    <vt:lpwstr/>
  </property>
</Properties>
</file>